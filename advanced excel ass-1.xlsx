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d.docs.live.net/42490dbb38504a51/Desktop/"/>
    </mc:Choice>
  </mc:AlternateContent>
  <xr:revisionPtr revIDLastSave="19" documentId="8_{93FDD56C-CE97-4C51-9D77-145A9D730182}" xr6:coauthVersionLast="47" xr6:coauthVersionMax="47" xr10:uidLastSave="{90575199-3DF8-49E0-A360-129C26E84B63}"/>
  <bookViews>
    <workbookView xWindow="-108" yWindow="-108" windowWidth="23256" windowHeight="12456" activeTab="2" xr2:uid="{8C9A30E4-600A-42BC-878E-6708B5D18F9C}"/>
  </bookViews>
  <sheets>
    <sheet name="Pivot table region wise profit" sheetId="9" r:id="rId1"/>
    <sheet name="avg units sold" sheetId="11" r:id="rId2"/>
    <sheet name="Sheet1" sheetId="1" r:id="rId3"/>
    <sheet name="Pivot Table" sheetId="8" r:id="rId4"/>
  </sheets>
  <definedNames>
    <definedName name="Slicer_Cause">#N/A</definedName>
  </definedNames>
  <calcPr calcId="191029"/>
  <pivotCaches>
    <pivotCache cacheId="0" r:id="rId5"/>
    <pivotCache cacheId="8"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85" i="1" l="1"/>
  <c r="F150" i="1"/>
  <c r="F151" i="1"/>
  <c r="F152" i="1"/>
  <c r="F153" i="1"/>
  <c r="F154" i="1"/>
  <c r="F155" i="1"/>
  <c r="F156" i="1"/>
  <c r="F149" i="1"/>
  <c r="E151" i="1"/>
  <c r="E152" i="1"/>
  <c r="E153" i="1"/>
  <c r="E154" i="1"/>
  <c r="E155" i="1"/>
  <c r="E156" i="1"/>
  <c r="E150" i="1"/>
  <c r="E149" i="1"/>
  <c r="D151" i="1"/>
  <c r="D152" i="1"/>
  <c r="D153" i="1"/>
  <c r="D154" i="1"/>
  <c r="D155" i="1"/>
  <c r="D156" i="1"/>
  <c r="D149" i="1"/>
  <c r="D150" i="1"/>
</calcChain>
</file>

<file path=xl/sharedStrings.xml><?xml version="1.0" encoding="utf-8"?>
<sst xmlns="http://schemas.openxmlformats.org/spreadsheetml/2006/main" count="2121" uniqueCount="604">
  <si>
    <t>1. Relative Cell Reference (A1):</t>
  </si>
  <si>
    <t xml:space="preserve"> Default type in Excel</t>
  </si>
  <si>
    <t>A relative reference changes automatically when a formula is copied to another cell.</t>
  </si>
  <si>
    <t>Example: Formula in cell C2: =A2+B2</t>
  </si>
  <si>
    <t>If you copy this formula from C2 to C3, it becomes =A3+B3</t>
  </si>
  <si>
    <t>Rows and columns adjust based on the new position.</t>
  </si>
  <si>
    <t>Use case: When performing the same calculation across rows or columns (e.g., adding values row-wise).</t>
  </si>
  <si>
    <t>2. Absolute Cell Reference ($A$1):  Fixed reference</t>
  </si>
  <si>
    <t>An absolute reference does not change when the formula is copied.</t>
  </si>
  <si>
    <t>Example: Formula in cell B2 =A2*$D$1</t>
  </si>
  <si>
    <t>If you copy this formula to B3, it remains: =A3*$D$1, $D$1 stays constant.</t>
  </si>
  <si>
    <t>Use case: When referring to a constant value like tax rate, discount percentage, or fixed multiplier.</t>
  </si>
  <si>
    <t>3. Mixed Cell Reference ($A1 or A$1): Partially fixed reference</t>
  </si>
  <si>
    <t>A mixed reference locks either the row or the column.</t>
  </si>
  <si>
    <t>Example:Formula in B2:=$A2*B$1</t>
  </si>
  <si>
    <t>If copied to C3, it becomes: =$A3*C$1</t>
  </si>
  <si>
    <t>Column A stays fixed,</t>
  </si>
  <si>
    <t>Row 1 stays fixed</t>
  </si>
  <si>
    <t>Use case: Useful in tables, multiplication grids, and lookup formulas.</t>
  </si>
  <si>
    <t xml:space="preserve"> In Excel, cell referencing determines how formulas behave when they are copied or moved. There are three types of cell references: Relative, Absolute, and Mixed.</t>
  </si>
  <si>
    <t>Question 2 : What is a Macro in Excel? How does it help in automation?</t>
  </si>
  <si>
    <t xml:space="preserve"> A Macro in Excel is a recorded or written set of instructions that automates repetitive tasks. Macros are written in VBA (Visual Basic for Applications) and allow Excel to perform actions automatically that you would otherwise do manually.</t>
  </si>
  <si>
    <t>Simply put, a macro is a stored sequence of commands that Excel can run with a single click or shortcut.</t>
  </si>
  <si>
    <t>How Does a Macro Help in Automation?</t>
  </si>
  <si>
    <t>Macros help by saving time, reducing errors, and increasing efficiency. Once created, a macro can repeat the same steps consistently without manual intervention.</t>
  </si>
  <si>
    <t>Key Benefits of Using Macros for Automation</t>
  </si>
  <si>
    <t>1. Automates Repetitive Tasks</t>
  </si>
  <si>
    <t>Tasks like:</t>
  </si>
  <si>
    <t>Formatting reports</t>
  </si>
  <si>
    <t>Copying and pasting data</t>
  </si>
  <si>
    <t>Applying formulas</t>
  </si>
  <si>
    <t>Generating charts</t>
  </si>
  <si>
    <t>can be done automatically.</t>
  </si>
  <si>
    <t>Example:</t>
  </si>
  <si>
    <t>Instead of formatting a report daily, a macro can do it in seconds.</t>
  </si>
  <si>
    <t>2. Improves Accuracy</t>
  </si>
  <si>
    <t>Manual work can lead to errors.</t>
  </si>
  <si>
    <t>Macros follow exact instructions every time, ensuring consistent results.</t>
  </si>
  <si>
    <t>3. Saves Time</t>
  </si>
  <si>
    <t>Tasks that take minutes or hours manually can be completed in seconds with a macro.</t>
  </si>
  <si>
    <t>4. Executes Complex Actions in One Click</t>
  </si>
  <si>
    <t>A single macro can:</t>
  </si>
  <si>
    <t>Clean raw data</t>
  </si>
  <si>
    <t>Apply formulas</t>
  </si>
  <si>
    <t>Create summaries</t>
  </si>
  <si>
    <t>Save and email reports</t>
  </si>
  <si>
    <t>5. Works with Keyboard Shortcuts &amp; Buttons</t>
  </si>
  <si>
    <t>Macros can be run using:</t>
  </si>
  <si>
    <t>A button on the worksheet</t>
  </si>
  <si>
    <t>A keyboard shortcut</t>
  </si>
  <si>
    <t>Automatically when opening a file</t>
  </si>
  <si>
    <t>Question 1 : Explain the difference between Absolute, Relative, and Mixed Cell?</t>
  </si>
  <si>
    <t>Question 3 : What are Text Functions in Excel? Mention any five with examples.</t>
  </si>
  <si>
    <t>Text functions in Excel are used to manipulate, clean, extract, combine, or format text (strings) in cells. They are especially useful when working with names, addresses, codes, or imported data.</t>
  </si>
  <si>
    <t>Five Common Text Functions in Excel (with Examples)</t>
  </si>
  <si>
    <t>1. LEFT()</t>
  </si>
  <si>
    <t>Extracts a specified number of characters from the left side of a text.</t>
  </si>
  <si>
    <t>Syntax:LEFT(text, num_chars)</t>
  </si>
  <si>
    <t>Example:=LEFT("Excel", 2)</t>
  </si>
  <si>
    <t>Output: Ex</t>
  </si>
  <si>
    <t>Use case: Extract country codes, initials, or prefixes.</t>
  </si>
  <si>
    <t>2. RIGHT()</t>
  </si>
  <si>
    <t>Extracts characters from the right side of a text.</t>
  </si>
  <si>
    <t>Syntax:RIGHT(text, num_chars)</t>
  </si>
  <si>
    <t>Example:=RIGHT("Excel", 3)</t>
  </si>
  <si>
    <t>Output: cel</t>
  </si>
  <si>
    <t>Use case: Extract last digits, suffixes, or file extensions.</t>
  </si>
  <si>
    <t>3. MID()</t>
  </si>
  <si>
    <t>Extracts text from the middle of a string.</t>
  </si>
  <si>
    <t>Syntax:MID(text, start_num, num_chars)</t>
  </si>
  <si>
    <t>Example:=MID("Excel", 2, 3)</t>
  </si>
  <si>
    <t>Output: xce</t>
  </si>
  <si>
    <t>Use case: Extract codes or values from structured text.</t>
  </si>
  <si>
    <t>4. LEN()</t>
  </si>
  <si>
    <t>Returns the number of characters in a text string (including spaces).</t>
  </si>
  <si>
    <t>Syntax:LEN(text)</t>
  </si>
  <si>
    <t>Example:=LEN("Excel")</t>
  </si>
  <si>
    <t>Output: 5</t>
  </si>
  <si>
    <t>Use case: Validate text length like phone numbers or IDs.</t>
  </si>
  <si>
    <t>5. CONCAT() / CONCATENATE()</t>
  </si>
  <si>
    <t>Joins two or more text strings together.</t>
  </si>
  <si>
    <t>Syntax:CONCAT(text1, text2, ...)</t>
  </si>
  <si>
    <t>Example:=CONCAT("Data", " ", "Analysis")</t>
  </si>
  <si>
    <t>Output: Data Analysis</t>
  </si>
  <si>
    <t>Use case: Combine first name and last name or create full addresses.</t>
  </si>
  <si>
    <t>Question 4 : What is the use of Scenario Manager in decision making?</t>
  </si>
  <si>
    <t>Scenario Manager is a What-If Analysis tool in Excel used to evaluate different possible outcomes by changing input values. It helps decision-makers compare multiple scenarios and choose the best option based on results.</t>
  </si>
  <si>
    <t>How Scenario Manager Supports Decision Making</t>
  </si>
  <si>
    <t>1. Analyzes Multiple Possibilities</t>
  </si>
  <si>
    <t>Scenario Manager allows you to create and compare different cases such as:</t>
  </si>
  <si>
    <t>Best Case</t>
  </si>
  <si>
    <t>Worst Case</t>
  </si>
  <si>
    <t>Most Likely Case</t>
  </si>
  <si>
    <t>Each scenario uses different input values to show how results change.</t>
  </si>
  <si>
    <t>Decision value: Helps understand risks and opportunities before taking action.</t>
  </si>
  <si>
    <t>2. Helps in Forecasting and Planning</t>
  </si>
  <si>
    <t>Used for:</t>
  </si>
  <si>
    <t>Budget planning</t>
  </si>
  <si>
    <t>Sales forecasting</t>
  </si>
  <si>
    <t>Profit analysis</t>
  </si>
  <si>
    <t>Financial modeling</t>
  </si>
  <si>
    <t>Decision value: Enables informed planning by visualizing future outcomes.</t>
  </si>
  <si>
    <t>3. Improves Comparison of Alternatives</t>
  </si>
  <si>
    <t>You can compare scenarios side-by-side in a Scenario Summary Report.</t>
  </si>
  <si>
    <t>Decision value: Makes it easy to identify which option gives the best result.</t>
  </si>
  <si>
    <t>4. Reduces Risk in Decision Making</t>
  </si>
  <si>
    <t>By testing assumptions before implementation, Scenario Manager helps avoid poor decisions.</t>
  </si>
  <si>
    <t>Decision value: Identifies worst-case impacts and prepares backup plans.</t>
  </si>
  <si>
    <t>5. Supports Data-Driven Decisions</t>
  </si>
  <si>
    <t>Decisions are based on numerical results, not guesswork.</t>
  </si>
  <si>
    <t>Decision value: Improves accuracy and confidence in decisions.</t>
  </si>
  <si>
    <t>Question 5 : Define the purpose of VLOOKUP and HLOOKUP. How are they different</t>
  </si>
  <si>
    <t>from XLOOKUP? Which among XLOOKUP and INDEX-MATCH is best while usage?</t>
  </si>
  <si>
    <t>Purpose of VLOOKUP and HLOOKUP</t>
  </si>
  <si>
    <t>VLOOKUP (Vertical Lookup)</t>
  </si>
  <si>
    <t>Purpose:</t>
  </si>
  <si>
    <t>Used to search for a value in the first column of a table and return a corresponding value from another column in the same row.</t>
  </si>
  <si>
    <t>Syntax:VLOOKUP(lookup_value, table_array, col_index_num, [range_lookup])</t>
  </si>
  <si>
    <t>Example:=VLOOKUP(101, A2:D10, 3, FALSE)</t>
  </si>
  <si>
    <t>Looks for 101 in column A and returns the value from column C.</t>
  </si>
  <si>
    <t>HLOOKUP (Horizontal Lookup)</t>
  </si>
  <si>
    <t>Used to search for a value in the first row of a table and return a value from another row in the same column.</t>
  </si>
  <si>
    <t>Syntax:HLOOKUP(lookup_value, table_array, row_index_num, [range_lookup])</t>
  </si>
  <si>
    <t>Example:=HLOOKUP("Sales", A1:D5, 2, FALSE)</t>
  </si>
  <si>
    <t>Looks for “Sales” in the first row and returns data from the second row.</t>
  </si>
  <si>
    <t>How XLOOKUP Is Different:</t>
  </si>
  <si>
    <t>XLOOKUP is a modern replacement for VLOOKUP, HLOOKUP, and even INDEX-MATCH.</t>
  </si>
  <si>
    <t>Syntax:XLOOKUP(lookup_value, lookup_array, return_array, [if_not_found])</t>
  </si>
  <si>
    <t>Example:=XLOOKUP(101, A2:A10, C2:C10)</t>
  </si>
  <si>
    <t>Key Advantages of XLOOKUP: Works both vertically and horizontally</t>
  </si>
  <si>
    <t>, Can lookup left, right, up, or down</t>
  </si>
  <si>
    <t>, No column/row index numbers</t>
  </si>
  <si>
    <t>, Handles missing values gracefully</t>
  </si>
  <si>
    <t>,  Does not break if columns are moved</t>
  </si>
  <si>
    <t>INDEX-MATCH: A powerful combination used before XLOOKUP existed.</t>
  </si>
  <si>
    <t>Xlookup is best for ease of use.</t>
  </si>
  <si>
    <t>Index-Match is best for compatibility &amp; performance on large datasets.</t>
  </si>
  <si>
    <t>XLOOKUP is the future, but INDEX-MATCH remains a strong alternative.</t>
  </si>
  <si>
    <t>Question 6 : Create a dataset of 8 employees with joining dates. Use the dummy</t>
  </si>
  <si>
    <t>dataset to calculate their experience in years and months.</t>
  </si>
  <si>
    <t>EMP_ID</t>
  </si>
  <si>
    <t>EMP_NAME</t>
  </si>
  <si>
    <t>JOINING_DATE</t>
  </si>
  <si>
    <t>EXP_YRS</t>
  </si>
  <si>
    <t>EXP_MONTHS</t>
  </si>
  <si>
    <t>Rahul</t>
  </si>
  <si>
    <t>Deepak</t>
  </si>
  <si>
    <t>Ajay</t>
  </si>
  <si>
    <t>Rohit</t>
  </si>
  <si>
    <t>Neha</t>
  </si>
  <si>
    <t>Rahman</t>
  </si>
  <si>
    <t>Anjali</t>
  </si>
  <si>
    <t>Muskaan</t>
  </si>
  <si>
    <t>TOTAL_EXP_in months and years</t>
  </si>
  <si>
    <t>Question 7 : You are provided with a dataset containing details of 100 road</t>
  </si>
  <si>
    <t>accidents.Design a Road Accident Analysis Dashboard using Pivot Tables and</t>
  </si>
  <si>
    <t>Slicers in Excel.</t>
  </si>
  <si>
    <t>Accident ID</t>
  </si>
  <si>
    <t>Date</t>
  </si>
  <si>
    <t>Location</t>
  </si>
  <si>
    <t>Accident Type</t>
  </si>
  <si>
    <t>Vehicle Type</t>
  </si>
  <si>
    <t>Weather Condition</t>
  </si>
  <si>
    <t>Road Condition</t>
  </si>
  <si>
    <t>Severity</t>
  </si>
  <si>
    <t>Cause</t>
  </si>
  <si>
    <t>Casualties</t>
  </si>
  <si>
    <t>AID0001</t>
  </si>
  <si>
    <t>Hyderabad</t>
  </si>
  <si>
    <t>Overturn</t>
  </si>
  <si>
    <t>Auto-Rickshaw</t>
  </si>
  <si>
    <t>Clear</t>
  </si>
  <si>
    <t>Dry</t>
  </si>
  <si>
    <t>Moderate</t>
  </si>
  <si>
    <t>Overtaking</t>
  </si>
  <si>
    <t>AID0002</t>
  </si>
  <si>
    <t>Mumbai</t>
  </si>
  <si>
    <t>Foggy</t>
  </si>
  <si>
    <t>Damaged</t>
  </si>
  <si>
    <t>Distracted Driving</t>
  </si>
  <si>
    <t>AID0003</t>
  </si>
  <si>
    <t>Bicycle</t>
  </si>
  <si>
    <t>Windy</t>
  </si>
  <si>
    <t>Under Construction</t>
  </si>
  <si>
    <t>Fatal</t>
  </si>
  <si>
    <t>AID0004</t>
  </si>
  <si>
    <t>Pune</t>
  </si>
  <si>
    <t>Collision</t>
  </si>
  <si>
    <t>Truck</t>
  </si>
  <si>
    <t>Brake Failure</t>
  </si>
  <si>
    <t>AID0005</t>
  </si>
  <si>
    <t>Bangalore</t>
  </si>
  <si>
    <t>Animal Hit</t>
  </si>
  <si>
    <t>Weather</t>
  </si>
  <si>
    <t>AID0006</t>
  </si>
  <si>
    <t>Car</t>
  </si>
  <si>
    <t>Rainy</t>
  </si>
  <si>
    <t>Minor</t>
  </si>
  <si>
    <t>Drunk Driving</t>
  </si>
  <si>
    <t>AID0007</t>
  </si>
  <si>
    <t>Delhi</t>
  </si>
  <si>
    <t>Speeding</t>
  </si>
  <si>
    <t>AID0008</t>
  </si>
  <si>
    <t>Wet</t>
  </si>
  <si>
    <t>AID0009</t>
  </si>
  <si>
    <t>AID0010</t>
  </si>
  <si>
    <t>Ahmedabad</t>
  </si>
  <si>
    <t>Motorcycle</t>
  </si>
  <si>
    <t>Severe</t>
  </si>
  <si>
    <t>AID0011</t>
  </si>
  <si>
    <t>Object Hit</t>
  </si>
  <si>
    <t>AID0012</t>
  </si>
  <si>
    <t>Pedestrian Hit</t>
  </si>
  <si>
    <t>AID0013</t>
  </si>
  <si>
    <t>AID0014</t>
  </si>
  <si>
    <t>Chennai</t>
  </si>
  <si>
    <t>Bus</t>
  </si>
  <si>
    <t>AID0015</t>
  </si>
  <si>
    <t>AID0016</t>
  </si>
  <si>
    <t>AID0017</t>
  </si>
  <si>
    <t>AID0018</t>
  </si>
  <si>
    <t>Kolkata</t>
  </si>
  <si>
    <t>AID0019</t>
  </si>
  <si>
    <t>AID0020</t>
  </si>
  <si>
    <t>AID0021</t>
  </si>
  <si>
    <t>AID0022</t>
  </si>
  <si>
    <t>AID0023</t>
  </si>
  <si>
    <t>AID0024</t>
  </si>
  <si>
    <t>AID0025</t>
  </si>
  <si>
    <t>AID0026</t>
  </si>
  <si>
    <t>AID0027</t>
  </si>
  <si>
    <t>AID0028</t>
  </si>
  <si>
    <t>AID0029</t>
  </si>
  <si>
    <t>AID0030</t>
  </si>
  <si>
    <t>AID0031</t>
  </si>
  <si>
    <t>AID0032</t>
  </si>
  <si>
    <t>AID0033</t>
  </si>
  <si>
    <t>AID0034</t>
  </si>
  <si>
    <t>AID0035</t>
  </si>
  <si>
    <t>AID0036</t>
  </si>
  <si>
    <t>AID0037</t>
  </si>
  <si>
    <t>AID0038</t>
  </si>
  <si>
    <t>AID0039</t>
  </si>
  <si>
    <t>AID0040</t>
  </si>
  <si>
    <t>AID0041</t>
  </si>
  <si>
    <t>AID0042</t>
  </si>
  <si>
    <t>AID0043</t>
  </si>
  <si>
    <t>AID0044</t>
  </si>
  <si>
    <t>AID0045</t>
  </si>
  <si>
    <t>AID0046</t>
  </si>
  <si>
    <t>AID0047</t>
  </si>
  <si>
    <t>AID0048</t>
  </si>
  <si>
    <t>AID0049</t>
  </si>
  <si>
    <t>AID0050</t>
  </si>
  <si>
    <t>AID0051</t>
  </si>
  <si>
    <t>AID0052</t>
  </si>
  <si>
    <t>AID0053</t>
  </si>
  <si>
    <t>AID0054</t>
  </si>
  <si>
    <t>AID0055</t>
  </si>
  <si>
    <t>AID0056</t>
  </si>
  <si>
    <t>AID0057</t>
  </si>
  <si>
    <t>AID0058</t>
  </si>
  <si>
    <t>AID0059</t>
  </si>
  <si>
    <t>AID0060</t>
  </si>
  <si>
    <t>AID0061</t>
  </si>
  <si>
    <t>AID0062</t>
  </si>
  <si>
    <t>AID0063</t>
  </si>
  <si>
    <t>AID0064</t>
  </si>
  <si>
    <t>AID0065</t>
  </si>
  <si>
    <t>AID0066</t>
  </si>
  <si>
    <t>AID0067</t>
  </si>
  <si>
    <t>AID0068</t>
  </si>
  <si>
    <t>AID0069</t>
  </si>
  <si>
    <t>AID0070</t>
  </si>
  <si>
    <t>AID0071</t>
  </si>
  <si>
    <t>AID0072</t>
  </si>
  <si>
    <t>AID0073</t>
  </si>
  <si>
    <t>AID0074</t>
  </si>
  <si>
    <t>AID0075</t>
  </si>
  <si>
    <t>AID0076</t>
  </si>
  <si>
    <t>AID0077</t>
  </si>
  <si>
    <t>AID0078</t>
  </si>
  <si>
    <t>AID0079</t>
  </si>
  <si>
    <t>AID0080</t>
  </si>
  <si>
    <t>AID0081</t>
  </si>
  <si>
    <t>AID0082</t>
  </si>
  <si>
    <t>AID0083</t>
  </si>
  <si>
    <t>AID0084</t>
  </si>
  <si>
    <t>AID0085</t>
  </si>
  <si>
    <t>AID0086</t>
  </si>
  <si>
    <t>AID0087</t>
  </si>
  <si>
    <t>AID0088</t>
  </si>
  <si>
    <t>AID0089</t>
  </si>
  <si>
    <t>AID0090</t>
  </si>
  <si>
    <t>AID0091</t>
  </si>
  <si>
    <t>AID0092</t>
  </si>
  <si>
    <t>AID0093</t>
  </si>
  <si>
    <t>AID0094</t>
  </si>
  <si>
    <t>AID0095</t>
  </si>
  <si>
    <t>AID0096</t>
  </si>
  <si>
    <t>AID0097</t>
  </si>
  <si>
    <t>AID0098</t>
  </si>
  <si>
    <t>AID0099</t>
  </si>
  <si>
    <t>AID0100</t>
  </si>
  <si>
    <t>Row Labels</t>
  </si>
  <si>
    <t>Grand Total</t>
  </si>
  <si>
    <t>Column Labels</t>
  </si>
  <si>
    <t>Count of Accident ID</t>
  </si>
  <si>
    <t>(Multiple Items)</t>
  </si>
  <si>
    <t>Question 8 : Create a table of 10 products with stock levels. Use Macros to highlight:</t>
  </si>
  <si>
    <t>● Low stock (less than 10 units) in red</t>
  </si>
  <si>
    <t>● Overstock (more than 50 units) in green.</t>
  </si>
  <si>
    <t>S.No</t>
  </si>
  <si>
    <t>PRODUCT NAME</t>
  </si>
  <si>
    <t>STOCK LEVEL</t>
  </si>
  <si>
    <t>Tablet</t>
  </si>
  <si>
    <t>Phone</t>
  </si>
  <si>
    <t>Watch</t>
  </si>
  <si>
    <t>Laptop</t>
  </si>
  <si>
    <t>Keyboard</t>
  </si>
  <si>
    <t>Mouse</t>
  </si>
  <si>
    <t>Headset</t>
  </si>
  <si>
    <t>Charger</t>
  </si>
  <si>
    <t>USB Cable</t>
  </si>
  <si>
    <t>Printer</t>
  </si>
  <si>
    <t>Question 9 : You are given a dataset : Create a drop-down list of product names in a</t>
  </si>
  <si>
    <t>separate cell using Data Validation, and write a formula in the adjacent cell so that when</t>
  </si>
  <si>
    <t>a product is selected from the drop-down, its corresponding price is automatically</t>
  </si>
  <si>
    <t>displayed.</t>
  </si>
  <si>
    <t>Order ID</t>
  </si>
  <si>
    <t>Customer Name</t>
  </si>
  <si>
    <t>Region</t>
  </si>
  <si>
    <t>Product Category</t>
  </si>
  <si>
    <t>Product Name</t>
  </si>
  <si>
    <t>Quantity</t>
  </si>
  <si>
    <t>Unit Price (?)</t>
  </si>
  <si>
    <t>Total Sales (?)</t>
  </si>
  <si>
    <t>Profit Margin (%)</t>
  </si>
  <si>
    <t>Customer Age</t>
  </si>
  <si>
    <t>Payment Mode</t>
  </si>
  <si>
    <t>Rahul Sharma</t>
  </si>
  <si>
    <t>North India</t>
  </si>
  <si>
    <t>Electronics</t>
  </si>
  <si>
    <t>Credit Card</t>
  </si>
  <si>
    <t>Amit Verma</t>
  </si>
  <si>
    <t>West India</t>
  </si>
  <si>
    <t>Home Decor</t>
  </si>
  <si>
    <t>Wall Clock</t>
  </si>
  <si>
    <t>COD</t>
  </si>
  <si>
    <t>Sneha Kapoor</t>
  </si>
  <si>
    <t>East India</t>
  </si>
  <si>
    <t>Bluetooth Speaker</t>
  </si>
  <si>
    <t>NetBanking</t>
  </si>
  <si>
    <t>Rajesh Kumar</t>
  </si>
  <si>
    <t>Fashion</t>
  </si>
  <si>
    <t>Jeans</t>
  </si>
  <si>
    <t>Priya Singh</t>
  </si>
  <si>
    <t>South India</t>
  </si>
  <si>
    <t>UPI</t>
  </si>
  <si>
    <t>Karan Malhotra</t>
  </si>
  <si>
    <t>Sofa Set</t>
  </si>
  <si>
    <t>Neha Gupta</t>
  </si>
  <si>
    <t>Dress</t>
  </si>
  <si>
    <t>Vikram Patel</t>
  </si>
  <si>
    <t>Smartphone</t>
  </si>
  <si>
    <t>Ayesha Kapoor</t>
  </si>
  <si>
    <t>Dining Table Set</t>
  </si>
  <si>
    <t>Amitabh Verma</t>
  </si>
  <si>
    <t>Leather Jacket</t>
  </si>
  <si>
    <t>Sneha Gupta</t>
  </si>
  <si>
    <t>Headphones</t>
  </si>
  <si>
    <t>Nikhil Kumar</t>
  </si>
  <si>
    <t>Floor Lamp</t>
  </si>
  <si>
    <t>Meera Sharma</t>
  </si>
  <si>
    <t>Sneakers</t>
  </si>
  <si>
    <t>Aditya Verma</t>
  </si>
  <si>
    <t>Gaming Console</t>
  </si>
  <si>
    <t>Rohan Malhotra</t>
  </si>
  <si>
    <t>Drone Camera</t>
  </si>
  <si>
    <t>Neha Kapoor</t>
  </si>
  <si>
    <t>TV</t>
  </si>
  <si>
    <t>Kunal Singh</t>
  </si>
  <si>
    <t>Smart Glasses</t>
  </si>
  <si>
    <t>Alisha Roy</t>
  </si>
  <si>
    <t>Recliner Sofa</t>
  </si>
  <si>
    <t>Tarun Mishra</t>
  </si>
  <si>
    <t>Washing Machine</t>
  </si>
  <si>
    <t>Pooja Nair</t>
  </si>
  <si>
    <t>Earbuds</t>
  </si>
  <si>
    <t>Manish Tiwari</t>
  </si>
  <si>
    <t>Formal Shirt</t>
  </si>
  <si>
    <t>Shreya Desai</t>
  </si>
  <si>
    <t>Coffee Table</t>
  </si>
  <si>
    <t>Kabir Joshi</t>
  </si>
  <si>
    <t>Air Conditioner</t>
  </si>
  <si>
    <t>Anita Yadav</t>
  </si>
  <si>
    <t>Running Shoes</t>
  </si>
  <si>
    <t>Vivek Chopra</t>
  </si>
  <si>
    <t>Simran Kaur</t>
  </si>
  <si>
    <t>Neckband</t>
  </si>
  <si>
    <t>Nitin Bansal</t>
  </si>
  <si>
    <t>Bookshelf</t>
  </si>
  <si>
    <t>Rekha Reddy</t>
  </si>
  <si>
    <t>Microwave</t>
  </si>
  <si>
    <t>Gautam Saxena</t>
  </si>
  <si>
    <t>Backpack</t>
  </si>
  <si>
    <t>Preeti Rawat</t>
  </si>
  <si>
    <t>Gaming Mouse</t>
  </si>
  <si>
    <t>Ashok Sharma</t>
  </si>
  <si>
    <t>Leather Wallet</t>
  </si>
  <si>
    <t>Divya Nair</t>
  </si>
  <si>
    <t>Ceiling Fan</t>
  </si>
  <si>
    <t>Kiran Kapoor</t>
  </si>
  <si>
    <t>Sports Watch</t>
  </si>
  <si>
    <t>Yash Malhotra</t>
  </si>
  <si>
    <t>Router</t>
  </si>
  <si>
    <t>Anurag Verma</t>
  </si>
  <si>
    <t>Smart Bulb</t>
  </si>
  <si>
    <t>Ritika Shah</t>
  </si>
  <si>
    <t>Office Chair</t>
  </si>
  <si>
    <t>Tanmay Goel</t>
  </si>
  <si>
    <t>Blender</t>
  </si>
  <si>
    <t>Varun Singh</t>
  </si>
  <si>
    <t>Perfume</t>
  </si>
  <si>
    <t>Payal Mehta</t>
  </si>
  <si>
    <t>Power Bank</t>
  </si>
  <si>
    <t>Snehal Desai</t>
  </si>
  <si>
    <t>LED Bulb</t>
  </si>
  <si>
    <t>Ajay Patel</t>
  </si>
  <si>
    <t>Gym Gloves</t>
  </si>
  <si>
    <t>Kritika Gupta</t>
  </si>
  <si>
    <t>Wall Art</t>
  </si>
  <si>
    <t>Dinesh Nair</t>
  </si>
  <si>
    <t>Priyanka Rao</t>
  </si>
  <si>
    <t>Sunglasses</t>
  </si>
  <si>
    <t>Harsh Malhotra</t>
  </si>
  <si>
    <t>Speaker</t>
  </si>
  <si>
    <t>Lavanya Kapoor</t>
  </si>
  <si>
    <t>Trolley Bag</t>
  </si>
  <si>
    <t>Aniket Shah</t>
  </si>
  <si>
    <t>Curtains</t>
  </si>
  <si>
    <t>Niharika Joshi</t>
  </si>
  <si>
    <t>Induction Stove</t>
  </si>
  <si>
    <t>Ravi Sharma</t>
  </si>
  <si>
    <t>Travel Pillow</t>
  </si>
  <si>
    <t>Product Name With Data Validation</t>
  </si>
  <si>
    <t>Price</t>
  </si>
  <si>
    <t>Question 10 : Case Scenario :-</t>
  </si>
  <si>
    <t>You are a data analyst working for a retail firm. You’ve received a sales dataset that</t>
  </si>
  <si>
    <t>includes customer transactions from various regions and product categories. Your job is</t>
  </si>
  <si>
    <t>to analyze this data, clean inconsistencies, extract insights, and build visual reports.</t>
  </si>
  <si>
    <t>Task :</t>
  </si>
  <si>
    <t>1. Apply data validation in the Units Sold column to ensure only values</t>
  </si>
  <si>
    <t>between 1 and 20 are allowed.</t>
  </si>
  <si>
    <t>2. Highlight rows where Profit &gt; ₹5000</t>
  </si>
  <si>
    <t>3. Highlight any phone number that is not exactly 10 digits</t>
  </si>
  <si>
    <t>4. Find the Revenue generated by each product and also label according to</t>
  </si>
  <si>
    <t>revenue generated as “High”, “Medium”, “Low”.</t>
  </si>
  <si>
    <t>5. Find the profit percentage up to two decimal places.</t>
  </si>
  <si>
    <t>6. Show Total Revenue and Total Profit by Region.</t>
  </si>
  <si>
    <t>7. Show Average Units Sold per Product Category.</t>
  </si>
  <si>
    <t>Customer ID</t>
  </si>
  <si>
    <t>Country</t>
  </si>
  <si>
    <t>State</t>
  </si>
  <si>
    <t>Phone Number</t>
  </si>
  <si>
    <t>Category</t>
  </si>
  <si>
    <t>Product</t>
  </si>
  <si>
    <t>Units Sold</t>
  </si>
  <si>
    <t>Profit</t>
  </si>
  <si>
    <t>Mode of Payment</t>
  </si>
  <si>
    <t>Revenue</t>
  </si>
  <si>
    <t>Revenue Label</t>
  </si>
  <si>
    <t>Profit %</t>
  </si>
  <si>
    <t>CUST1000</t>
  </si>
  <si>
    <t>West</t>
  </si>
  <si>
    <t>India</t>
  </si>
  <si>
    <t>Karnataka</t>
  </si>
  <si>
    <t>Clothing</t>
  </si>
  <si>
    <t>Shirt</t>
  </si>
  <si>
    <t>High</t>
  </si>
  <si>
    <t>CUST1001</t>
  </si>
  <si>
    <t>Furniture</t>
  </si>
  <si>
    <t>Table</t>
  </si>
  <si>
    <t>Net Banking</t>
  </si>
  <si>
    <t>CUST1002</t>
  </si>
  <si>
    <t>South</t>
  </si>
  <si>
    <t>West Bengal</t>
  </si>
  <si>
    <t>T-shirt</t>
  </si>
  <si>
    <t>Low</t>
  </si>
  <si>
    <t>CUST1003</t>
  </si>
  <si>
    <t>Sofa</t>
  </si>
  <si>
    <t>Cash</t>
  </si>
  <si>
    <t>Medium</t>
  </si>
  <si>
    <t>CUST1004</t>
  </si>
  <si>
    <t>CUST1005</t>
  </si>
  <si>
    <t>CUST1006</t>
  </si>
  <si>
    <t>East</t>
  </si>
  <si>
    <t>Tamil Nadu</t>
  </si>
  <si>
    <t>CUST1007</t>
  </si>
  <si>
    <t>Chair</t>
  </si>
  <si>
    <t>CUST1008</t>
  </si>
  <si>
    <t>Maharashtra</t>
  </si>
  <si>
    <t>CUST1009</t>
  </si>
  <si>
    <t>Gujarat</t>
  </si>
  <si>
    <t>CUST1010</t>
  </si>
  <si>
    <t>Rajasthan</t>
  </si>
  <si>
    <t>CUST1011</t>
  </si>
  <si>
    <t>CUST1012</t>
  </si>
  <si>
    <t>North</t>
  </si>
  <si>
    <t>CUST1013</t>
  </si>
  <si>
    <t>CUST1014</t>
  </si>
  <si>
    <t>CUST1015</t>
  </si>
  <si>
    <t>Monitor</t>
  </si>
  <si>
    <t>CUST1016</t>
  </si>
  <si>
    <t>Jacket</t>
  </si>
  <si>
    <t>Debit Card</t>
  </si>
  <si>
    <t>CUST1017</t>
  </si>
  <si>
    <t>Uttar Pradesh</t>
  </si>
  <si>
    <t>CUST1018</t>
  </si>
  <si>
    <t>CUST1019</t>
  </si>
  <si>
    <t>CUST1020</t>
  </si>
  <si>
    <t>CUST1021</t>
  </si>
  <si>
    <t>CUST1022</t>
  </si>
  <si>
    <t>CUST1023</t>
  </si>
  <si>
    <t>CUST1024</t>
  </si>
  <si>
    <t>CUST1025</t>
  </si>
  <si>
    <t>CUST1026</t>
  </si>
  <si>
    <t>CUST1027</t>
  </si>
  <si>
    <t>CUST1028</t>
  </si>
  <si>
    <t>CUST1029</t>
  </si>
  <si>
    <t>Cupboard</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</si>
  <si>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</si>
  <si>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</si>
  <si>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</si>
  <si>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</si>
  <si>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</si>
  <si>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</si>
  <si>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</si>
  <si>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</si>
  <si>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</si>
  <si>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</si>
  <si>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</si>
  <si>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</si>
  <si>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</si>
  <si>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</si>
  <si>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</si>
  <si>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</si>
  <si>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</si>
  <si>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</si>
  <si>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</si>
  <si>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</si>
  <si>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</si>
  <si>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</si>
  <si>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</si>
  <si>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</si>
  <si>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</si>
  <si>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</si>
  <si>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</si>
  <si>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</si>
  <si>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</si>
  <si>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</si>
  <si>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</si>
  <si>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</si>
  <si>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</si>
  <si>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</si>
  <si>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</si>
  <si>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</si>
  <si>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</si>
  <si>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</si>
  <si>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</si>
  <si>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</si>
  <si>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</si>
  <si>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</si>
  <si>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</si>
  <si>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</si>
  <si>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</si>
  <si>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</si>
  <si>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</si>
  <si>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</si>
  <si>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</si>
  <si>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</si>
  <si>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</si>
  <si>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</si>
  <si>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</si>
  <si>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</si>
  <si>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</si>
  <si>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</si>
  <si>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</si>
  <si>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</si>
  <si>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</si>
  <si>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</si>
  <si>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</si>
  <si>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</si>
  <si>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</si>
  <si>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</si>
  <si>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</si>
  <si>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</si>
  <si>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</si>
  <si>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</si>
  <si>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</si>
  <si>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</si>
  <si>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Sum of Profit</t>
  </si>
  <si>
    <t>Sum of Revenue</t>
  </si>
  <si>
    <t>Average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</si>
</sst>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s>
  <fills count="5">
    <fill>
      <patternFill patternType="none"/>
    </fill>
    <fill>
      <patternFill patternType="gray125"/>
    </fill>
    <fill>
      <patternFill patternType="solid">
        <fgColor rgb="FFFF0000"/>
        <bgColor indexed="64"/>
      </patternFill>
    </fill>
    <fill>
      <patternFill patternType="solid">
        <fgColor rgb="FF000000"/>
        <bgColor indexed="64"/>
      </patternFill>
    </fill>
    <fill>
      <patternFill patternType="solid">
        <fgColor rgb="FF00B050"/>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s>
  <cellStyleXfs count="1">
    <xf numFmtId="0" fontId="0" fillId="0" borderId="0"/>
  </cellStyleXfs>
  <cellXfs count="34">
    <xf numFmtId="0" fontId="0" fillId="0" borderId="0" xfId="0"/>
    <xf numFmtId="0" fontId="1" fillId="0" borderId="0" xfId="0" applyFont="1"/>
    <xf numFmtId="14" fontId="0" fillId="0" borderId="0" xfId="0" applyNumberFormat="1"/>
    <xf numFmtId="0" fontId="3" fillId="0" borderId="1" xfId="0" applyFont="1" applyBorder="1" applyAlignment="1">
      <alignment wrapText="1"/>
    </xf>
    <xf numFmtId="14" fontId="3" fillId="0" borderId="1" xfId="0" applyNumberFormat="1" applyFont="1" applyBorder="1" applyAlignment="1">
      <alignment horizontal="right" wrapText="1"/>
    </xf>
    <xf numFmtId="0" fontId="0" fillId="0" borderId="0" xfId="0" pivotButton="1"/>
    <xf numFmtId="0" fontId="0" fillId="0" borderId="0" xfId="0" applyAlignment="1">
      <alignment horizontal="left"/>
    </xf>
    <xf numFmtId="0" fontId="3" fillId="0" borderId="2" xfId="0" applyFont="1" applyBorder="1" applyAlignment="1">
      <alignment wrapText="1"/>
    </xf>
    <xf numFmtId="0" fontId="3" fillId="0" borderId="3" xfId="0" applyFont="1" applyBorder="1" applyAlignment="1">
      <alignment horizontal="right" wrapText="1"/>
    </xf>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3" fillId="0" borderId="7" xfId="0" applyFont="1" applyBorder="1" applyAlignment="1">
      <alignment wrapText="1"/>
    </xf>
    <xf numFmtId="14" fontId="3" fillId="0" borderId="8" xfId="0" applyNumberFormat="1" applyFont="1" applyBorder="1" applyAlignment="1">
      <alignment horizontal="right" wrapText="1"/>
    </xf>
    <xf numFmtId="0" fontId="3" fillId="0" borderId="8" xfId="0" applyFont="1" applyBorder="1" applyAlignment="1">
      <alignment wrapText="1"/>
    </xf>
    <xf numFmtId="0" fontId="3" fillId="0" borderId="9" xfId="0" applyFont="1" applyBorder="1" applyAlignment="1">
      <alignment horizontal="right" wrapText="1"/>
    </xf>
    <xf numFmtId="0" fontId="0" fillId="2" borderId="0" xfId="0" applyFill="1"/>
    <xf numFmtId="0" fontId="0" fillId="3" borderId="0" xfId="0" applyFill="1"/>
    <xf numFmtId="0" fontId="0" fillId="4" borderId="0" xfId="0" applyFill="1"/>
    <xf numFmtId="0" fontId="0" fillId="0" borderId="1" xfId="0" applyBorder="1" applyAlignment="1">
      <alignment wrapText="1"/>
    </xf>
    <xf numFmtId="0" fontId="0" fillId="0" borderId="1" xfId="0" applyBorder="1" applyAlignment="1">
      <alignment horizontal="right" wrapText="1"/>
    </xf>
    <xf numFmtId="14" fontId="0" fillId="0" borderId="1" xfId="0" applyNumberFormat="1" applyBorder="1" applyAlignment="1">
      <alignment wrapText="1"/>
    </xf>
    <xf numFmtId="0" fontId="1" fillId="0" borderId="10" xfId="0" applyFont="1" applyBorder="1" applyAlignment="1">
      <alignment horizontal="center" vertical="top" wrapText="1"/>
    </xf>
    <xf numFmtId="0" fontId="0" fillId="0" borderId="2" xfId="0" applyBorder="1" applyAlignment="1">
      <alignment wrapText="1"/>
    </xf>
    <xf numFmtId="0" fontId="1" fillId="0" borderId="11" xfId="0" applyFont="1" applyBorder="1" applyAlignment="1">
      <alignment horizontal="center" vertical="top" wrapText="1"/>
    </xf>
    <xf numFmtId="0" fontId="1" fillId="0" borderId="12" xfId="0" applyFont="1" applyBorder="1" applyAlignment="1">
      <alignment horizontal="center" vertical="top" wrapText="1"/>
    </xf>
    <xf numFmtId="0" fontId="0" fillId="0" borderId="8" xfId="0" applyBorder="1" applyAlignment="1">
      <alignment horizontal="right" wrapText="1"/>
    </xf>
    <xf numFmtId="14" fontId="0" fillId="0" borderId="8" xfId="0" applyNumberFormat="1" applyBorder="1" applyAlignment="1">
      <alignment wrapText="1"/>
    </xf>
    <xf numFmtId="0" fontId="0" fillId="0" borderId="8" xfId="0" applyBorder="1" applyAlignment="1">
      <alignment wrapText="1"/>
    </xf>
    <xf numFmtId="0" fontId="1" fillId="0" borderId="1" xfId="0" applyFont="1" applyBorder="1" applyAlignment="1">
      <alignment wrapText="1"/>
    </xf>
    <xf numFmtId="2" fontId="0" fillId="0" borderId="1" xfId="0" applyNumberFormat="1" applyBorder="1" applyAlignment="1">
      <alignment wrapText="1"/>
    </xf>
    <xf numFmtId="0" fontId="0" fillId="0" borderId="3" xfId="0" applyBorder="1" applyAlignment="1">
      <alignment wrapText="1"/>
    </xf>
    <xf numFmtId="0" fontId="0" fillId="0" borderId="9" xfId="0" applyBorder="1" applyAlignment="1">
      <alignment wrapText="1"/>
    </xf>
    <xf numFmtId="0" fontId="0" fillId="0" borderId="0" xfId="0" applyNumberFormat="1"/>
  </cellXfs>
  <cellStyles count="1">
    <cellStyle name="Normal" xfId="0" builtinId="0"/>
  </cellStyles>
  <dxfs count="56">
    <dxf>
      <fill>
        <patternFill>
          <bgColor rgb="FFFF0000"/>
        </patternFill>
      </fill>
    </dxf>
    <dxf>
      <fill>
        <patternFill patternType="solid">
          <fgColor auto="1"/>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right style="medium">
          <color rgb="FFCCCCCC"/>
        </right>
        <top style="medium">
          <color rgb="FFCCCCCC"/>
        </top>
        <bottom style="medium">
          <color rgb="FFCCCCCC"/>
        </bottom>
      </border>
    </dxf>
    <dxf>
      <alignment horizontal="general" vertical="bottom" textRotation="0" wrapText="1" indent="0" justifyLastLine="0" shrinkToFit="0" readingOrder="0"/>
    </dxf>
    <dxf>
      <alignment horizontal="general" vertical="bottom"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dd/mm/yyyy"/>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right style="medium">
          <color rgb="FFCCCCCC"/>
        </right>
        <top style="medium">
          <color rgb="FF000000"/>
        </top>
        <bottom style="medium">
          <color rgb="FFCCCCCC"/>
        </bottom>
      </border>
    </dxf>
    <dxf>
      <alignment horizontal="right"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1" defaultTableStyle="TableStyleMedium2" defaultPivotStyle="PivotStyleLight16">
    <tableStyle name="PivotTable Style 1" table="0" count="0" xr9:uid="{97F8D590-947D-4BC9-A7AA-E266E3A35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ass-1.xlsx]Pivot Table!Pivot Table of ACCident Analysis</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Table'!$B$4:$B$5</c:f>
              <c:strCache>
                <c:ptCount val="1"/>
                <c:pt idx="0">
                  <c:v>Fatal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Table'!$A$6:$A$24</c:f>
              <c:strCache>
                <c:ptCount val="18"/>
                <c:pt idx="0">
                  <c:v>AID0008</c:v>
                </c:pt>
                <c:pt idx="1">
                  <c:v>AID0010</c:v>
                </c:pt>
                <c:pt idx="2">
                  <c:v>AID0014</c:v>
                </c:pt>
                <c:pt idx="3">
                  <c:v>AID0019</c:v>
                </c:pt>
                <c:pt idx="4">
                  <c:v>AID0035</c:v>
                </c:pt>
                <c:pt idx="5">
                  <c:v>AID0038</c:v>
                </c:pt>
                <c:pt idx="6">
                  <c:v>AID0042</c:v>
                </c:pt>
                <c:pt idx="7">
                  <c:v>AID0051</c:v>
                </c:pt>
                <c:pt idx="8">
                  <c:v>AID0056</c:v>
                </c:pt>
                <c:pt idx="9">
                  <c:v>AID0057</c:v>
                </c:pt>
                <c:pt idx="10">
                  <c:v>AID0059</c:v>
                </c:pt>
                <c:pt idx="11">
                  <c:v>AID0060</c:v>
                </c:pt>
                <c:pt idx="12">
                  <c:v>AID0062</c:v>
                </c:pt>
                <c:pt idx="13">
                  <c:v>AID0064</c:v>
                </c:pt>
                <c:pt idx="14">
                  <c:v>AID0067</c:v>
                </c:pt>
                <c:pt idx="15">
                  <c:v>AID0068</c:v>
                </c:pt>
                <c:pt idx="16">
                  <c:v>AID0095</c:v>
                </c:pt>
                <c:pt idx="17">
                  <c:v>AID0099</c:v>
                </c:pt>
              </c:strCache>
            </c:strRef>
          </c:cat>
          <c:val>
            <c:numRef>
              <c:f>'Pivot Table'!$B$6:$B$24</c:f>
              <c:numCache>
                <c:formatCode>General</c:formatCode>
                <c:ptCount val="18"/>
                <c:pt idx="10">
                  <c:v>1</c:v>
                </c:pt>
                <c:pt idx="11">
                  <c:v>1</c:v>
                </c:pt>
                <c:pt idx="14">
                  <c:v>1</c:v>
                </c:pt>
              </c:numCache>
            </c:numRef>
          </c:val>
          <c:smooth val="0"/>
          <c:extLst>
            <c:ext xmlns:c16="http://schemas.microsoft.com/office/drawing/2014/chart" uri="{C3380CC4-5D6E-409C-BE32-E72D297353CC}">
              <c16:uniqueId val="{00000000-9A3F-45B0-89D2-97BE8D32D320}"/>
            </c:ext>
          </c:extLst>
        </c:ser>
        <c:ser>
          <c:idx val="1"/>
          <c:order val="1"/>
          <c:tx>
            <c:strRef>
              <c:f>'Pivot Table'!$C$4:$C$5</c:f>
              <c:strCache>
                <c:ptCount val="1"/>
                <c:pt idx="0">
                  <c:v>Minor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Table'!$A$6:$A$24</c:f>
              <c:strCache>
                <c:ptCount val="18"/>
                <c:pt idx="0">
                  <c:v>AID0008</c:v>
                </c:pt>
                <c:pt idx="1">
                  <c:v>AID0010</c:v>
                </c:pt>
                <c:pt idx="2">
                  <c:v>AID0014</c:v>
                </c:pt>
                <c:pt idx="3">
                  <c:v>AID0019</c:v>
                </c:pt>
                <c:pt idx="4">
                  <c:v>AID0035</c:v>
                </c:pt>
                <c:pt idx="5">
                  <c:v>AID0038</c:v>
                </c:pt>
                <c:pt idx="6">
                  <c:v>AID0042</c:v>
                </c:pt>
                <c:pt idx="7">
                  <c:v>AID0051</c:v>
                </c:pt>
                <c:pt idx="8">
                  <c:v>AID0056</c:v>
                </c:pt>
                <c:pt idx="9">
                  <c:v>AID0057</c:v>
                </c:pt>
                <c:pt idx="10">
                  <c:v>AID0059</c:v>
                </c:pt>
                <c:pt idx="11">
                  <c:v>AID0060</c:v>
                </c:pt>
                <c:pt idx="12">
                  <c:v>AID0062</c:v>
                </c:pt>
                <c:pt idx="13">
                  <c:v>AID0064</c:v>
                </c:pt>
                <c:pt idx="14">
                  <c:v>AID0067</c:v>
                </c:pt>
                <c:pt idx="15">
                  <c:v>AID0068</c:v>
                </c:pt>
                <c:pt idx="16">
                  <c:v>AID0095</c:v>
                </c:pt>
                <c:pt idx="17">
                  <c:v>AID0099</c:v>
                </c:pt>
              </c:strCache>
            </c:strRef>
          </c:cat>
          <c:val>
            <c:numRef>
              <c:f>'Pivot Table'!$C$6:$C$24</c:f>
              <c:numCache>
                <c:formatCode>General</c:formatCode>
                <c:ptCount val="18"/>
                <c:pt idx="6">
                  <c:v>1</c:v>
                </c:pt>
                <c:pt idx="9">
                  <c:v>1</c:v>
                </c:pt>
                <c:pt idx="12">
                  <c:v>1</c:v>
                </c:pt>
                <c:pt idx="16">
                  <c:v>1</c:v>
                </c:pt>
                <c:pt idx="17">
                  <c:v>1</c:v>
                </c:pt>
              </c:numCache>
            </c:numRef>
          </c:val>
          <c:smooth val="0"/>
          <c:extLst>
            <c:ext xmlns:c16="http://schemas.microsoft.com/office/drawing/2014/chart" uri="{C3380CC4-5D6E-409C-BE32-E72D297353CC}">
              <c16:uniqueId val="{00000001-9A3F-45B0-89D2-97BE8D32D320}"/>
            </c:ext>
          </c:extLst>
        </c:ser>
        <c:ser>
          <c:idx val="2"/>
          <c:order val="2"/>
          <c:tx>
            <c:strRef>
              <c:f>'Pivot Table'!$D$4:$D$5</c:f>
              <c:strCache>
                <c:ptCount val="1"/>
                <c:pt idx="0">
                  <c:v>Moderate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Table'!$A$6:$A$24</c:f>
              <c:strCache>
                <c:ptCount val="18"/>
                <c:pt idx="0">
                  <c:v>AID0008</c:v>
                </c:pt>
                <c:pt idx="1">
                  <c:v>AID0010</c:v>
                </c:pt>
                <c:pt idx="2">
                  <c:v>AID0014</c:v>
                </c:pt>
                <c:pt idx="3">
                  <c:v>AID0019</c:v>
                </c:pt>
                <c:pt idx="4">
                  <c:v>AID0035</c:v>
                </c:pt>
                <c:pt idx="5">
                  <c:v>AID0038</c:v>
                </c:pt>
                <c:pt idx="6">
                  <c:v>AID0042</c:v>
                </c:pt>
                <c:pt idx="7">
                  <c:v>AID0051</c:v>
                </c:pt>
                <c:pt idx="8">
                  <c:v>AID0056</c:v>
                </c:pt>
                <c:pt idx="9">
                  <c:v>AID0057</c:v>
                </c:pt>
                <c:pt idx="10">
                  <c:v>AID0059</c:v>
                </c:pt>
                <c:pt idx="11">
                  <c:v>AID0060</c:v>
                </c:pt>
                <c:pt idx="12">
                  <c:v>AID0062</c:v>
                </c:pt>
                <c:pt idx="13">
                  <c:v>AID0064</c:v>
                </c:pt>
                <c:pt idx="14">
                  <c:v>AID0067</c:v>
                </c:pt>
                <c:pt idx="15">
                  <c:v>AID0068</c:v>
                </c:pt>
                <c:pt idx="16">
                  <c:v>AID0095</c:v>
                </c:pt>
                <c:pt idx="17">
                  <c:v>AID0099</c:v>
                </c:pt>
              </c:strCache>
            </c:strRef>
          </c:cat>
          <c:val>
            <c:numRef>
              <c:f>'Pivot Table'!$D$6:$D$24</c:f>
              <c:numCache>
                <c:formatCode>General</c:formatCode>
                <c:ptCount val="18"/>
                <c:pt idx="0">
                  <c:v>1</c:v>
                </c:pt>
                <c:pt idx="7">
                  <c:v>1</c:v>
                </c:pt>
                <c:pt idx="8">
                  <c:v>1</c:v>
                </c:pt>
                <c:pt idx="15">
                  <c:v>1</c:v>
                </c:pt>
              </c:numCache>
            </c:numRef>
          </c:val>
          <c:smooth val="0"/>
          <c:extLst>
            <c:ext xmlns:c16="http://schemas.microsoft.com/office/drawing/2014/chart" uri="{C3380CC4-5D6E-409C-BE32-E72D297353CC}">
              <c16:uniqueId val="{00000002-9A3F-45B0-89D2-97BE8D32D320}"/>
            </c:ext>
          </c:extLst>
        </c:ser>
        <c:ser>
          <c:idx val="3"/>
          <c:order val="3"/>
          <c:tx>
            <c:strRef>
              <c:f>'Pivot Table'!$E$4:$E$5</c:f>
              <c:strCache>
                <c:ptCount val="1"/>
                <c:pt idx="0">
                  <c:v>Severe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Table'!$A$6:$A$24</c:f>
              <c:strCache>
                <c:ptCount val="18"/>
                <c:pt idx="0">
                  <c:v>AID0008</c:v>
                </c:pt>
                <c:pt idx="1">
                  <c:v>AID0010</c:v>
                </c:pt>
                <c:pt idx="2">
                  <c:v>AID0014</c:v>
                </c:pt>
                <c:pt idx="3">
                  <c:v>AID0019</c:v>
                </c:pt>
                <c:pt idx="4">
                  <c:v>AID0035</c:v>
                </c:pt>
                <c:pt idx="5">
                  <c:v>AID0038</c:v>
                </c:pt>
                <c:pt idx="6">
                  <c:v>AID0042</c:v>
                </c:pt>
                <c:pt idx="7">
                  <c:v>AID0051</c:v>
                </c:pt>
                <c:pt idx="8">
                  <c:v>AID0056</c:v>
                </c:pt>
                <c:pt idx="9">
                  <c:v>AID0057</c:v>
                </c:pt>
                <c:pt idx="10">
                  <c:v>AID0059</c:v>
                </c:pt>
                <c:pt idx="11">
                  <c:v>AID0060</c:v>
                </c:pt>
                <c:pt idx="12">
                  <c:v>AID0062</c:v>
                </c:pt>
                <c:pt idx="13">
                  <c:v>AID0064</c:v>
                </c:pt>
                <c:pt idx="14">
                  <c:v>AID0067</c:v>
                </c:pt>
                <c:pt idx="15">
                  <c:v>AID0068</c:v>
                </c:pt>
                <c:pt idx="16">
                  <c:v>AID0095</c:v>
                </c:pt>
                <c:pt idx="17">
                  <c:v>AID0099</c:v>
                </c:pt>
              </c:strCache>
            </c:strRef>
          </c:cat>
          <c:val>
            <c:numRef>
              <c:f>'Pivot Table'!$E$6:$E$24</c:f>
              <c:numCache>
                <c:formatCode>General</c:formatCode>
                <c:ptCount val="18"/>
                <c:pt idx="1">
                  <c:v>1</c:v>
                </c:pt>
                <c:pt idx="2">
                  <c:v>1</c:v>
                </c:pt>
                <c:pt idx="3">
                  <c:v>1</c:v>
                </c:pt>
                <c:pt idx="4">
                  <c:v>1</c:v>
                </c:pt>
                <c:pt idx="5">
                  <c:v>1</c:v>
                </c:pt>
                <c:pt idx="13">
                  <c:v>1</c:v>
                </c:pt>
              </c:numCache>
            </c:numRef>
          </c:val>
          <c:smooth val="0"/>
          <c:extLst>
            <c:ext xmlns:c16="http://schemas.microsoft.com/office/drawing/2014/chart" uri="{C3380CC4-5D6E-409C-BE32-E72D297353CC}">
              <c16:uniqueId val="{00000003-9A3F-45B0-89D2-97BE8D32D320}"/>
            </c:ext>
          </c:extLst>
        </c:ser>
        <c:dLbls>
          <c:showLegendKey val="0"/>
          <c:showVal val="0"/>
          <c:showCatName val="0"/>
          <c:showSerName val="0"/>
          <c:showPercent val="0"/>
          <c:showBubbleSize val="0"/>
        </c:dLbls>
        <c:marker val="1"/>
        <c:smooth val="0"/>
        <c:axId val="514106144"/>
        <c:axId val="514112864"/>
      </c:lineChart>
      <c:catAx>
        <c:axId val="51410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112864"/>
        <c:crosses val="autoZero"/>
        <c:auto val="1"/>
        <c:lblAlgn val="ctr"/>
        <c:lblOffset val="100"/>
        <c:noMultiLvlLbl val="0"/>
      </c:catAx>
      <c:valAx>
        <c:axId val="51411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10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14</xdr:col>
      <xdr:colOff>685800</xdr:colOff>
      <xdr:row>5</xdr:row>
      <xdr:rowOff>167640</xdr:rowOff>
    </xdr:from>
    <xdr:to>
      <xdr:col>17</xdr:col>
      <xdr:colOff>129540</xdr:colOff>
      <xdr:row>19</xdr:row>
      <xdr:rowOff>74295</xdr:rowOff>
    </xdr:to>
    <mc:AlternateContent xmlns:mc="http://schemas.openxmlformats.org/markup-compatibility/2006" xmlns:a14="http://schemas.microsoft.com/office/drawing/2010/main">
      <mc:Choice Requires="a14">
        <xdr:graphicFrame macro="">
          <xdr:nvGraphicFramePr>
            <xdr:cNvPr id="4" name="Cause">
              <a:extLst>
                <a:ext uri="{FF2B5EF4-FFF2-40B4-BE49-F238E27FC236}">
                  <a16:creationId xmlns:a16="http://schemas.microsoft.com/office/drawing/2014/main" id="{29D5F3E6-1623-C044-7568-630F0BEC2384}"/>
                </a:ext>
              </a:extLst>
            </xdr:cNvPr>
            <xdr:cNvGraphicFramePr/>
          </xdr:nvGraphicFramePr>
          <xdr:xfrm>
            <a:off x="0" y="0"/>
            <a:ext cx="0" cy="0"/>
          </xdr:xfrm>
          <a:graphic>
            <a:graphicData uri="http://schemas.microsoft.com/office/drawing/2010/slicer">
              <sle:slicer xmlns:sle="http://schemas.microsoft.com/office/drawing/2010/slicer" name="Cause"/>
            </a:graphicData>
          </a:graphic>
        </xdr:graphicFrame>
      </mc:Choice>
      <mc:Fallback xmlns="">
        <xdr:sp macro="" textlink="">
          <xdr:nvSpPr>
            <xdr:cNvPr id="0" name=""/>
            <xdr:cNvSpPr>
              <a:spLocks noTextEdit="1"/>
            </xdr:cNvSpPr>
          </xdr:nvSpPr>
          <xdr:spPr>
            <a:xfrm>
              <a:off x="11483340" y="1082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144780</xdr:colOff>
      <xdr:row>3</xdr:row>
      <xdr:rowOff>156210</xdr:rowOff>
    </xdr:from>
    <xdr:to>
      <xdr:col>13</xdr:col>
      <xdr:colOff>853440</xdr:colOff>
      <xdr:row>24</xdr:row>
      <xdr:rowOff>175260</xdr:rowOff>
    </xdr:to>
    <xdr:graphicFrame macro="">
      <xdr:nvGraphicFramePr>
        <xdr:cNvPr id="5" name="Chart 4">
          <a:extLst>
            <a:ext uri="{FF2B5EF4-FFF2-40B4-BE49-F238E27FC236}">
              <a16:creationId xmlns:a16="http://schemas.microsoft.com/office/drawing/2014/main" id="{56904A42-D88E-7990-29F2-18D073BDB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eeza" refreshedDate="46019.888789004632" createdVersion="8" refreshedVersion="8" minRefreshableVersion="3" recordCount="100" xr:uid="{5989804E-78F4-45E2-BBF1-78B9ECF8F33F}">
  <cacheSource type="worksheet">
    <worksheetSource name="Table2"/>
  </cacheSource>
  <cacheFields count="12">
    <cacheField name="Accident ID" numFmtId="0">
      <sharedItems count="100">
        <s v="AID0001"/>
        <s v="AID0002"/>
        <s v="AID0003"/>
        <s v="AID0004"/>
        <s v="AID0005"/>
        <s v="AID0006"/>
        <s v="AID0007"/>
        <s v="AID0008"/>
        <s v="AID0009"/>
        <s v="AID0010"/>
        <s v="AID0011"/>
        <s v="AID0012"/>
        <s v="AID0013"/>
        <s v="AID0014"/>
        <s v="AID0015"/>
        <s v="AID0016"/>
        <s v="AID0017"/>
        <s v="AID0018"/>
        <s v="AID0019"/>
        <s v="AID0020"/>
        <s v="AID0021"/>
        <s v="AID0022"/>
        <s v="AID0023"/>
        <s v="AID0024"/>
        <s v="AID0025"/>
        <s v="AID0026"/>
        <s v="AID0027"/>
        <s v="AID0028"/>
        <s v="AID0029"/>
        <s v="AID0030"/>
        <s v="AID0031"/>
        <s v="AID0032"/>
        <s v="AID0033"/>
        <s v="AID0034"/>
        <s v="AID0035"/>
        <s v="AID0036"/>
        <s v="AID0037"/>
        <s v="AID0038"/>
        <s v="AID0039"/>
        <s v="AID0040"/>
        <s v="AID0041"/>
        <s v="AID0042"/>
        <s v="AID0043"/>
        <s v="AID0044"/>
        <s v="AID0045"/>
        <s v="AID0046"/>
        <s v="AID0047"/>
        <s v="AID0048"/>
        <s v="AID0049"/>
        <s v="AID0050"/>
        <s v="AID0051"/>
        <s v="AID0052"/>
        <s v="AID0053"/>
        <s v="AID0054"/>
        <s v="AID0055"/>
        <s v="AID0056"/>
        <s v="AID0057"/>
        <s v="AID0058"/>
        <s v="AID0059"/>
        <s v="AID0060"/>
        <s v="AID0061"/>
        <s v="AID0062"/>
        <s v="AID0063"/>
        <s v="AID0064"/>
        <s v="AID0065"/>
        <s v="AID0066"/>
        <s v="AID0067"/>
        <s v="AID0068"/>
        <s v="AID0069"/>
        <s v="AID0070"/>
        <s v="AID0071"/>
        <s v="AID0072"/>
        <s v="AID0073"/>
        <s v="AID0074"/>
        <s v="AID0075"/>
        <s v="AID0076"/>
        <s v="AID0077"/>
        <s v="AID0078"/>
        <s v="AID0079"/>
        <s v="AID0080"/>
        <s v="AID0081"/>
        <s v="AID0082"/>
        <s v="AID0083"/>
        <s v="AID0084"/>
        <s v="AID0085"/>
        <s v="AID0086"/>
        <s v="AID0087"/>
        <s v="AID0088"/>
        <s v="AID0089"/>
        <s v="AID0090"/>
        <s v="AID0091"/>
        <s v="AID0092"/>
        <s v="AID0093"/>
        <s v="AID0094"/>
        <s v="AID0095"/>
        <s v="AID0096"/>
        <s v="AID0097"/>
        <s v="AID0098"/>
        <s v="AID0099"/>
        <s v="AID0100"/>
      </sharedItems>
    </cacheField>
    <cacheField name="Date" numFmtId="14">
      <sharedItems containsSemiMixedTypes="0" containsNonDate="0" containsDate="1" containsString="0" minDate="2024-01-01T00:00:00" maxDate="2024-06-27T00:00:00" count="81">
        <d v="2024-01-01T00:00:00"/>
        <d v="2024-03-29T00:00:00"/>
        <d v="2024-01-05T00:00:00"/>
        <d v="2024-06-02T00:00:00"/>
        <d v="2024-02-28T00:00:00"/>
        <d v="2024-04-17T00:00:00"/>
        <d v="2024-02-16T00:00:00"/>
        <d v="2024-03-18T00:00:00"/>
        <d v="2024-05-13T00:00:00"/>
        <d v="2024-01-16T00:00:00"/>
        <d v="2024-01-08T00:00:00"/>
        <d v="2024-06-25T00:00:00"/>
        <d v="2024-04-02T00:00:00"/>
        <d v="2024-03-27T00:00:00"/>
        <d v="2024-05-19T00:00:00"/>
        <d v="2024-03-03T00:00:00"/>
        <d v="2024-03-08T00:00:00"/>
        <d v="2024-06-26T00:00:00"/>
        <d v="2024-01-26T00:00:00"/>
        <d v="2024-02-05T00:00:00"/>
        <d v="2024-06-07T00:00:00"/>
        <d v="2024-02-24T00:00:00"/>
        <d v="2024-06-04T00:00:00"/>
        <d v="2024-05-30T00:00:00"/>
        <d v="2024-04-04T00:00:00"/>
        <d v="2024-05-10T00:00:00"/>
        <d v="2024-03-02T00:00:00"/>
        <d v="2024-04-16T00:00:00"/>
        <d v="2024-06-09T00:00:00"/>
        <d v="2024-02-25T00:00:00"/>
        <d v="2024-06-24T00:00:00"/>
        <d v="2024-04-21T00:00:00"/>
        <d v="2024-01-02T00:00:00"/>
        <d v="2024-05-24T00:00:00"/>
        <d v="2024-01-23T00:00:00"/>
        <d v="2024-04-26T00:00:00"/>
        <d v="2024-03-14T00:00:00"/>
        <d v="2024-01-10T00:00:00"/>
        <d v="2024-04-28T00:00:00"/>
        <d v="2024-03-19T00:00:00"/>
        <d v="2024-03-20T00:00:00"/>
        <d v="2024-05-05T00:00:00"/>
        <d v="2024-04-20T00:00:00"/>
        <d v="2024-06-23T00:00:00"/>
        <d v="2024-04-01T00:00:00"/>
        <d v="2024-01-20T00:00:00"/>
        <d v="2024-02-23T00:00:00"/>
        <d v="2024-05-21T00:00:00"/>
        <d v="2024-03-23T00:00:00"/>
        <d v="2024-03-16T00:00:00"/>
        <d v="2024-05-14T00:00:00"/>
        <d v="2024-05-11T00:00:00"/>
        <d v="2024-03-04T00:00:00"/>
        <d v="2024-06-10T00:00:00"/>
        <d v="2024-03-09T00:00:00"/>
        <d v="2024-02-15T00:00:00"/>
        <d v="2024-01-11T00:00:00"/>
        <d v="2024-05-18T00:00:00"/>
        <d v="2024-06-05T00:00:00"/>
        <d v="2024-03-01T00:00:00"/>
        <d v="2024-06-17T00:00:00"/>
        <d v="2024-05-25T00:00:00"/>
        <d v="2024-02-08T00:00:00"/>
        <d v="2024-03-31T00:00:00"/>
        <d v="2024-02-07T00:00:00"/>
        <d v="2024-03-24T00:00:00"/>
        <d v="2024-01-29T00:00:00"/>
        <d v="2024-04-22T00:00:00"/>
        <d v="2024-05-12T00:00:00"/>
        <d v="2024-01-28T00:00:00"/>
        <d v="2024-01-17T00:00:00"/>
        <d v="2024-06-14T00:00:00"/>
        <d v="2024-03-22T00:00:00"/>
        <d v="2024-01-03T00:00:00"/>
        <d v="2024-06-15T00:00:00"/>
        <d v="2024-04-07T00:00:00"/>
        <d v="2024-06-13T00:00:00"/>
        <d v="2024-02-20T00:00:00"/>
        <d v="2024-01-22T00:00:00"/>
        <d v="2024-04-08T00:00:00"/>
        <d v="2024-06-21T00:00:00"/>
      </sharedItems>
      <fieldGroup par="11"/>
    </cacheField>
    <cacheField name="Location" numFmtId="0">
      <sharedItems count="8">
        <s v="Hyderabad"/>
        <s v="Mumbai"/>
        <s v="Pune"/>
        <s v="Bangalore"/>
        <s v="Delhi"/>
        <s v="Ahmedabad"/>
        <s v="Chennai"/>
        <s v="Kolkata"/>
      </sharedItems>
    </cacheField>
    <cacheField name="Accident Type" numFmtId="0">
      <sharedItems count="5">
        <s v="Overturn"/>
        <s v="Collision"/>
        <s v="Animal Hit"/>
        <s v="Object Hit"/>
        <s v="Pedestrian Hit"/>
      </sharedItems>
    </cacheField>
    <cacheField name="Vehicle Type" numFmtId="0">
      <sharedItems/>
    </cacheField>
    <cacheField name="Weather Condition" numFmtId="0">
      <sharedItems/>
    </cacheField>
    <cacheField name="Road Condition" numFmtId="0">
      <sharedItems/>
    </cacheField>
    <cacheField name="Severity" numFmtId="0">
      <sharedItems count="4">
        <s v="Moderate"/>
        <s v="Fatal"/>
        <s v="Minor"/>
        <s v="Severe"/>
      </sharedItems>
    </cacheField>
    <cacheField name="Cause" numFmtId="0">
      <sharedItems count="6">
        <s v="Overtaking"/>
        <s v="Distracted Driving"/>
        <s v="Brake Failure"/>
        <s v="Weather"/>
        <s v="Drunk Driving"/>
        <s v="Speeding"/>
      </sharedItems>
    </cacheField>
    <cacheField name="Casualties" numFmtId="0">
      <sharedItems containsSemiMixedTypes="0" containsString="0" containsNumber="1" containsInteger="1" minValue="0" maxValue="5"/>
    </cacheField>
    <cacheField name="Days (Date)" numFmtId="0" databaseField="0">
      <fieldGroup base="1">
        <rangePr groupBy="days" startDate="2024-01-01T00:00:00" endDate="2024-06-27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6-2024"/>
        </groupItems>
      </fieldGroup>
    </cacheField>
    <cacheField name="Months (Date)" numFmtId="0" databaseField="0">
      <fieldGroup base="1">
        <rangePr groupBy="months" startDate="2024-01-01T00:00:00" endDate="2024-06-27T00:00:00"/>
        <groupItems count="14">
          <s v="&lt;01-01-2024"/>
          <s v="Jan"/>
          <s v="Feb"/>
          <s v="Mar"/>
          <s v="Apr"/>
          <s v="May"/>
          <s v="Jun"/>
          <s v="Jul"/>
          <s v="Aug"/>
          <s v="Sep"/>
          <s v="Oct"/>
          <s v="Nov"/>
          <s v="Dec"/>
          <s v="&gt;27-06-2024"/>
        </groupItems>
      </fieldGroup>
    </cacheField>
  </cacheFields>
  <extLst>
    <ext xmlns:x14="http://schemas.microsoft.com/office/spreadsheetml/2009/9/main" uri="{725AE2AE-9491-48be-B2B4-4EB974FC3084}">
      <x14:pivotCacheDefinition pivotCacheId="6998169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eeza" refreshedDate="46025.811831597224" createdVersion="8" refreshedVersion="8" minRefreshableVersion="3" recordCount="100" xr:uid="{9BE1B865-FD76-4627-A42D-16264734FAB7}">
  <cacheSource type="worksheet">
    <worksheetSource name="Table3"/>
  </cacheSource>
  <cacheFields count="14">
    <cacheField name="Customer ID" numFmtId="0">
      <sharedItems/>
    </cacheField>
    <cacheField name="Region" numFmtId="0">
      <sharedItems count="4">
        <s v="West"/>
        <s v="South"/>
        <s v="East"/>
        <s v="North"/>
      </sharedItems>
    </cacheField>
    <cacheField name="Country" numFmtId="0">
      <sharedItems/>
    </cacheField>
    <cacheField name="State" numFmtId="0">
      <sharedItems/>
    </cacheField>
    <cacheField name="Phone Number" numFmtId="0">
      <sharedItems containsSemiMixedTypes="0" containsString="0" containsNumber="1" containsInteger="1" minValue="85" maxValue="99831923457"/>
    </cacheField>
    <cacheField name="Category" numFmtId="0">
      <sharedItems count="3">
        <s v="Clothing"/>
        <s v="Furniture"/>
        <s v="Electronics"/>
      </sharedItems>
    </cacheField>
    <cacheField name="Product" numFmtId="0">
      <sharedItems/>
    </cacheField>
    <cacheField name="Price" numFmtId="0">
      <sharedItems containsSemiMixedTypes="0" containsString="0" containsNumber="1" minValue="238.37" maxValue="2896.96"/>
    </cacheField>
    <cacheField name="Units Sold" numFmtId="0">
      <sharedItems containsSemiMixedTypes="0" containsString="0" containsNumber="1" containsInteger="1" minValue="1" maxValue="15" count="15">
        <n v="5"/>
        <n v="13"/>
        <n v="1"/>
        <n v="7"/>
        <n v="6"/>
        <n v="3"/>
        <n v="15"/>
        <n v="2"/>
        <n v="11"/>
        <n v="9"/>
        <n v="4"/>
        <n v="8"/>
        <n v="10"/>
        <n v="14"/>
        <n v="12"/>
      </sharedItems>
    </cacheField>
    <cacheField name="Profit" numFmtId="0">
      <sharedItems containsSemiMixedTypes="0" containsString="0" containsNumber="1" minValue="163.57" maxValue="11123.31"/>
    </cacheField>
    <cacheField name="Mode of Payment" numFmtId="0">
      <sharedItems/>
    </cacheField>
    <cacheField name="Revenue" numFmtId="0">
      <sharedItems containsSemiMixedTypes="0" containsString="0" containsNumber="1" minValue="1248.54" maxValue="42729.15"/>
    </cacheField>
    <cacheField name="Revenue Label" numFmtId="0">
      <sharedItems/>
    </cacheField>
    <cacheField name="Profit %" numFmtId="0">
      <sharedItems containsSemiMixedTypes="0" containsString="0" containsNumber="1" minValue="10.26" maxValue="2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s v="Auto-Rickshaw"/>
    <s v="Clear"/>
    <s v="Dry"/>
    <x v="0"/>
    <x v="0"/>
    <n v="0"/>
  </r>
  <r>
    <x v="1"/>
    <x v="1"/>
    <x v="1"/>
    <x v="0"/>
    <s v="Auto-Rickshaw"/>
    <s v="Foggy"/>
    <s v="Damaged"/>
    <x v="0"/>
    <x v="1"/>
    <n v="0"/>
  </r>
  <r>
    <x v="2"/>
    <x v="2"/>
    <x v="1"/>
    <x v="0"/>
    <s v="Bicycle"/>
    <s v="Windy"/>
    <s v="Under Construction"/>
    <x v="1"/>
    <x v="0"/>
    <n v="3"/>
  </r>
  <r>
    <x v="3"/>
    <x v="3"/>
    <x v="2"/>
    <x v="1"/>
    <s v="Truck"/>
    <s v="Clear"/>
    <s v="Dry"/>
    <x v="1"/>
    <x v="2"/>
    <n v="4"/>
  </r>
  <r>
    <x v="4"/>
    <x v="4"/>
    <x v="3"/>
    <x v="2"/>
    <s v="Auto-Rickshaw"/>
    <s v="Clear"/>
    <s v="Damaged"/>
    <x v="0"/>
    <x v="3"/>
    <n v="0"/>
  </r>
  <r>
    <x v="5"/>
    <x v="5"/>
    <x v="3"/>
    <x v="2"/>
    <s v="Car"/>
    <s v="Rainy"/>
    <s v="Damaged"/>
    <x v="2"/>
    <x v="4"/>
    <n v="4"/>
  </r>
  <r>
    <x v="6"/>
    <x v="6"/>
    <x v="4"/>
    <x v="2"/>
    <s v="Car"/>
    <s v="Rainy"/>
    <s v="Dry"/>
    <x v="2"/>
    <x v="5"/>
    <n v="2"/>
  </r>
  <r>
    <x v="7"/>
    <x v="7"/>
    <x v="0"/>
    <x v="0"/>
    <s v="Car"/>
    <s v="Foggy"/>
    <s v="Wet"/>
    <x v="0"/>
    <x v="5"/>
    <n v="5"/>
  </r>
  <r>
    <x v="8"/>
    <x v="8"/>
    <x v="1"/>
    <x v="1"/>
    <s v="Car"/>
    <s v="Windy"/>
    <s v="Under Construction"/>
    <x v="2"/>
    <x v="3"/>
    <n v="2"/>
  </r>
  <r>
    <x v="9"/>
    <x v="9"/>
    <x v="5"/>
    <x v="1"/>
    <s v="Motorcycle"/>
    <s v="Clear"/>
    <s v="Under Construction"/>
    <x v="3"/>
    <x v="5"/>
    <n v="5"/>
  </r>
  <r>
    <x v="10"/>
    <x v="10"/>
    <x v="2"/>
    <x v="3"/>
    <s v="Auto-Rickshaw"/>
    <s v="Clear"/>
    <s v="Damaged"/>
    <x v="1"/>
    <x v="0"/>
    <n v="0"/>
  </r>
  <r>
    <x v="11"/>
    <x v="11"/>
    <x v="5"/>
    <x v="4"/>
    <s v="Car"/>
    <s v="Clear"/>
    <s v="Under Construction"/>
    <x v="3"/>
    <x v="0"/>
    <n v="3"/>
  </r>
  <r>
    <x v="12"/>
    <x v="1"/>
    <x v="3"/>
    <x v="4"/>
    <s v="Bicycle"/>
    <s v="Rainy"/>
    <s v="Wet"/>
    <x v="3"/>
    <x v="5"/>
    <n v="1"/>
  </r>
  <r>
    <x v="13"/>
    <x v="12"/>
    <x v="6"/>
    <x v="0"/>
    <s v="Bus"/>
    <s v="Foggy"/>
    <s v="Dry"/>
    <x v="3"/>
    <x v="4"/>
    <n v="2"/>
  </r>
  <r>
    <x v="14"/>
    <x v="13"/>
    <x v="6"/>
    <x v="4"/>
    <s v="Motorcycle"/>
    <s v="Foggy"/>
    <s v="Under Construction"/>
    <x v="0"/>
    <x v="2"/>
    <n v="1"/>
  </r>
  <r>
    <x v="15"/>
    <x v="14"/>
    <x v="6"/>
    <x v="0"/>
    <s v="Truck"/>
    <s v="Foggy"/>
    <s v="Damaged"/>
    <x v="3"/>
    <x v="1"/>
    <n v="5"/>
  </r>
  <r>
    <x v="16"/>
    <x v="15"/>
    <x v="0"/>
    <x v="1"/>
    <s v="Motorcycle"/>
    <s v="Windy"/>
    <s v="Under Construction"/>
    <x v="0"/>
    <x v="1"/>
    <n v="4"/>
  </r>
  <r>
    <x v="17"/>
    <x v="16"/>
    <x v="7"/>
    <x v="0"/>
    <s v="Car"/>
    <s v="Windy"/>
    <s v="Under Construction"/>
    <x v="0"/>
    <x v="2"/>
    <n v="3"/>
  </r>
  <r>
    <x v="18"/>
    <x v="17"/>
    <x v="4"/>
    <x v="0"/>
    <s v="Motorcycle"/>
    <s v="Rainy"/>
    <s v="Wet"/>
    <x v="3"/>
    <x v="4"/>
    <n v="4"/>
  </r>
  <r>
    <x v="19"/>
    <x v="18"/>
    <x v="4"/>
    <x v="1"/>
    <s v="Bicycle"/>
    <s v="Rainy"/>
    <s v="Damaged"/>
    <x v="0"/>
    <x v="2"/>
    <n v="5"/>
  </r>
  <r>
    <x v="20"/>
    <x v="19"/>
    <x v="2"/>
    <x v="2"/>
    <s v="Motorcycle"/>
    <s v="Windy"/>
    <s v="Damaged"/>
    <x v="2"/>
    <x v="1"/>
    <n v="5"/>
  </r>
  <r>
    <x v="21"/>
    <x v="20"/>
    <x v="0"/>
    <x v="3"/>
    <s v="Truck"/>
    <s v="Foggy"/>
    <s v="Under Construction"/>
    <x v="1"/>
    <x v="3"/>
    <n v="4"/>
  </r>
  <r>
    <x v="22"/>
    <x v="13"/>
    <x v="6"/>
    <x v="1"/>
    <s v="Bicycle"/>
    <s v="Rainy"/>
    <s v="Under Construction"/>
    <x v="3"/>
    <x v="3"/>
    <n v="4"/>
  </r>
  <r>
    <x v="23"/>
    <x v="21"/>
    <x v="1"/>
    <x v="3"/>
    <s v="Truck"/>
    <s v="Rainy"/>
    <s v="Dry"/>
    <x v="0"/>
    <x v="0"/>
    <n v="0"/>
  </r>
  <r>
    <x v="24"/>
    <x v="22"/>
    <x v="4"/>
    <x v="2"/>
    <s v="Motorcycle"/>
    <s v="Rainy"/>
    <s v="Damaged"/>
    <x v="1"/>
    <x v="4"/>
    <n v="1"/>
  </r>
  <r>
    <x v="25"/>
    <x v="23"/>
    <x v="2"/>
    <x v="1"/>
    <s v="Bus"/>
    <s v="Clear"/>
    <s v="Damaged"/>
    <x v="0"/>
    <x v="3"/>
    <n v="0"/>
  </r>
  <r>
    <x v="26"/>
    <x v="24"/>
    <x v="0"/>
    <x v="4"/>
    <s v="Car"/>
    <s v="Windy"/>
    <s v="Wet"/>
    <x v="1"/>
    <x v="0"/>
    <n v="0"/>
  </r>
  <r>
    <x v="27"/>
    <x v="25"/>
    <x v="0"/>
    <x v="0"/>
    <s v="Bicycle"/>
    <s v="Foggy"/>
    <s v="Dry"/>
    <x v="3"/>
    <x v="2"/>
    <n v="4"/>
  </r>
  <r>
    <x v="28"/>
    <x v="26"/>
    <x v="6"/>
    <x v="2"/>
    <s v="Auto-Rickshaw"/>
    <s v="Rainy"/>
    <s v="Damaged"/>
    <x v="3"/>
    <x v="3"/>
    <n v="4"/>
  </r>
  <r>
    <x v="29"/>
    <x v="27"/>
    <x v="2"/>
    <x v="4"/>
    <s v="Car"/>
    <s v="Foggy"/>
    <s v="Under Construction"/>
    <x v="3"/>
    <x v="1"/>
    <n v="0"/>
  </r>
  <r>
    <x v="30"/>
    <x v="28"/>
    <x v="7"/>
    <x v="3"/>
    <s v="Motorcycle"/>
    <s v="Rainy"/>
    <s v="Wet"/>
    <x v="3"/>
    <x v="0"/>
    <n v="5"/>
  </r>
  <r>
    <x v="31"/>
    <x v="29"/>
    <x v="6"/>
    <x v="4"/>
    <s v="Auto-Rickshaw"/>
    <s v="Rainy"/>
    <s v="Damaged"/>
    <x v="1"/>
    <x v="4"/>
    <n v="2"/>
  </r>
  <r>
    <x v="32"/>
    <x v="30"/>
    <x v="2"/>
    <x v="3"/>
    <s v="Auto-Rickshaw"/>
    <s v="Windy"/>
    <s v="Damaged"/>
    <x v="1"/>
    <x v="1"/>
    <n v="1"/>
  </r>
  <r>
    <x v="33"/>
    <x v="31"/>
    <x v="7"/>
    <x v="2"/>
    <s v="Bicycle"/>
    <s v="Clear"/>
    <s v="Under Construction"/>
    <x v="2"/>
    <x v="4"/>
    <n v="1"/>
  </r>
  <r>
    <x v="34"/>
    <x v="32"/>
    <x v="1"/>
    <x v="0"/>
    <s v="Truck"/>
    <s v="Clear"/>
    <s v="Wet"/>
    <x v="3"/>
    <x v="5"/>
    <n v="3"/>
  </r>
  <r>
    <x v="35"/>
    <x v="33"/>
    <x v="7"/>
    <x v="2"/>
    <s v="Auto-Rickshaw"/>
    <s v="Clear"/>
    <s v="Wet"/>
    <x v="0"/>
    <x v="1"/>
    <n v="4"/>
  </r>
  <r>
    <x v="36"/>
    <x v="18"/>
    <x v="5"/>
    <x v="3"/>
    <s v="Motorcycle"/>
    <s v="Clear"/>
    <s v="Under Construction"/>
    <x v="2"/>
    <x v="0"/>
    <n v="5"/>
  </r>
  <r>
    <x v="37"/>
    <x v="34"/>
    <x v="3"/>
    <x v="0"/>
    <s v="Auto-Rickshaw"/>
    <s v="Windy"/>
    <s v="Under Construction"/>
    <x v="3"/>
    <x v="5"/>
    <n v="0"/>
  </r>
  <r>
    <x v="38"/>
    <x v="35"/>
    <x v="2"/>
    <x v="2"/>
    <s v="Car"/>
    <s v="Foggy"/>
    <s v="Under Construction"/>
    <x v="1"/>
    <x v="5"/>
    <n v="2"/>
  </r>
  <r>
    <x v="39"/>
    <x v="36"/>
    <x v="0"/>
    <x v="0"/>
    <s v="Auto-Rickshaw"/>
    <s v="Rainy"/>
    <s v="Damaged"/>
    <x v="1"/>
    <x v="3"/>
    <n v="1"/>
  </r>
  <r>
    <x v="40"/>
    <x v="37"/>
    <x v="0"/>
    <x v="2"/>
    <s v="Auto-Rickshaw"/>
    <s v="Clear"/>
    <s v="Wet"/>
    <x v="2"/>
    <x v="2"/>
    <n v="4"/>
  </r>
  <r>
    <x v="41"/>
    <x v="38"/>
    <x v="1"/>
    <x v="1"/>
    <s v="Car"/>
    <s v="Foggy"/>
    <s v="Under Construction"/>
    <x v="2"/>
    <x v="5"/>
    <n v="2"/>
  </r>
  <r>
    <x v="42"/>
    <x v="34"/>
    <x v="3"/>
    <x v="0"/>
    <s v="Bicycle"/>
    <s v="Windy"/>
    <s v="Under Construction"/>
    <x v="2"/>
    <x v="2"/>
    <n v="2"/>
  </r>
  <r>
    <x v="43"/>
    <x v="39"/>
    <x v="0"/>
    <x v="2"/>
    <s v="Car"/>
    <s v="Windy"/>
    <s v="Wet"/>
    <x v="1"/>
    <x v="3"/>
    <n v="4"/>
  </r>
  <r>
    <x v="44"/>
    <x v="40"/>
    <x v="0"/>
    <x v="0"/>
    <s v="Bus"/>
    <s v="Clear"/>
    <s v="Wet"/>
    <x v="3"/>
    <x v="2"/>
    <n v="3"/>
  </r>
  <r>
    <x v="45"/>
    <x v="41"/>
    <x v="1"/>
    <x v="2"/>
    <s v="Motorcycle"/>
    <s v="Rainy"/>
    <s v="Dry"/>
    <x v="2"/>
    <x v="5"/>
    <n v="0"/>
  </r>
  <r>
    <x v="46"/>
    <x v="42"/>
    <x v="0"/>
    <x v="0"/>
    <s v="Car"/>
    <s v="Foggy"/>
    <s v="Dry"/>
    <x v="3"/>
    <x v="0"/>
    <n v="1"/>
  </r>
  <r>
    <x v="47"/>
    <x v="43"/>
    <x v="6"/>
    <x v="2"/>
    <s v="Motorcycle"/>
    <s v="Rainy"/>
    <s v="Wet"/>
    <x v="1"/>
    <x v="4"/>
    <n v="0"/>
  </r>
  <r>
    <x v="48"/>
    <x v="7"/>
    <x v="7"/>
    <x v="1"/>
    <s v="Motorcycle"/>
    <s v="Clear"/>
    <s v="Dry"/>
    <x v="0"/>
    <x v="3"/>
    <n v="5"/>
  </r>
  <r>
    <x v="49"/>
    <x v="33"/>
    <x v="3"/>
    <x v="4"/>
    <s v="Truck"/>
    <s v="Foggy"/>
    <s v="Damaged"/>
    <x v="2"/>
    <x v="5"/>
    <n v="2"/>
  </r>
  <r>
    <x v="50"/>
    <x v="44"/>
    <x v="5"/>
    <x v="1"/>
    <s v="Bicycle"/>
    <s v="Windy"/>
    <s v="Dry"/>
    <x v="0"/>
    <x v="4"/>
    <n v="0"/>
  </r>
  <r>
    <x v="51"/>
    <x v="29"/>
    <x v="4"/>
    <x v="2"/>
    <s v="Truck"/>
    <s v="Foggy"/>
    <s v="Damaged"/>
    <x v="3"/>
    <x v="3"/>
    <n v="2"/>
  </r>
  <r>
    <x v="52"/>
    <x v="45"/>
    <x v="7"/>
    <x v="4"/>
    <s v="Car"/>
    <s v="Windy"/>
    <s v="Under Construction"/>
    <x v="0"/>
    <x v="4"/>
    <n v="3"/>
  </r>
  <r>
    <x v="53"/>
    <x v="46"/>
    <x v="0"/>
    <x v="2"/>
    <s v="Truck"/>
    <s v="Windy"/>
    <s v="Dry"/>
    <x v="3"/>
    <x v="4"/>
    <n v="5"/>
  </r>
  <r>
    <x v="54"/>
    <x v="47"/>
    <x v="0"/>
    <x v="0"/>
    <s v="Auto-Rickshaw"/>
    <s v="Clear"/>
    <s v="Damaged"/>
    <x v="0"/>
    <x v="2"/>
    <n v="4"/>
  </r>
  <r>
    <x v="55"/>
    <x v="48"/>
    <x v="3"/>
    <x v="0"/>
    <s v="Bus"/>
    <s v="Foggy"/>
    <s v="Under Construction"/>
    <x v="0"/>
    <x v="4"/>
    <n v="3"/>
  </r>
  <r>
    <x v="56"/>
    <x v="47"/>
    <x v="3"/>
    <x v="0"/>
    <s v="Bus"/>
    <s v="Windy"/>
    <s v="Under Construction"/>
    <x v="2"/>
    <x v="5"/>
    <n v="5"/>
  </r>
  <r>
    <x v="57"/>
    <x v="49"/>
    <x v="0"/>
    <x v="1"/>
    <s v="Auto-Rickshaw"/>
    <s v="Foggy"/>
    <s v="Wet"/>
    <x v="2"/>
    <x v="2"/>
    <n v="2"/>
  </r>
  <r>
    <x v="58"/>
    <x v="18"/>
    <x v="1"/>
    <x v="1"/>
    <s v="Car"/>
    <s v="Foggy"/>
    <s v="Under Construction"/>
    <x v="1"/>
    <x v="5"/>
    <n v="4"/>
  </r>
  <r>
    <x v="59"/>
    <x v="50"/>
    <x v="2"/>
    <x v="0"/>
    <s v="Car"/>
    <s v="Rainy"/>
    <s v="Dry"/>
    <x v="1"/>
    <x v="4"/>
    <n v="2"/>
  </r>
  <r>
    <x v="60"/>
    <x v="51"/>
    <x v="0"/>
    <x v="2"/>
    <s v="Bicycle"/>
    <s v="Foggy"/>
    <s v="Under Construction"/>
    <x v="1"/>
    <x v="2"/>
    <n v="5"/>
  </r>
  <r>
    <x v="61"/>
    <x v="52"/>
    <x v="1"/>
    <x v="1"/>
    <s v="Motorcycle"/>
    <s v="Foggy"/>
    <s v="Damaged"/>
    <x v="2"/>
    <x v="5"/>
    <n v="5"/>
  </r>
  <r>
    <x v="62"/>
    <x v="53"/>
    <x v="6"/>
    <x v="2"/>
    <s v="Auto-Rickshaw"/>
    <s v="Clear"/>
    <s v="Under Construction"/>
    <x v="3"/>
    <x v="2"/>
    <n v="1"/>
  </r>
  <r>
    <x v="63"/>
    <x v="37"/>
    <x v="7"/>
    <x v="0"/>
    <s v="Bus"/>
    <s v="Rainy"/>
    <s v="Under Construction"/>
    <x v="3"/>
    <x v="5"/>
    <n v="4"/>
  </r>
  <r>
    <x v="64"/>
    <x v="54"/>
    <x v="2"/>
    <x v="4"/>
    <s v="Auto-Rickshaw"/>
    <s v="Windy"/>
    <s v="Dry"/>
    <x v="2"/>
    <x v="1"/>
    <n v="1"/>
  </r>
  <r>
    <x v="65"/>
    <x v="49"/>
    <x v="5"/>
    <x v="0"/>
    <s v="Motorcycle"/>
    <s v="Windy"/>
    <s v="Wet"/>
    <x v="2"/>
    <x v="0"/>
    <n v="2"/>
  </r>
  <r>
    <x v="66"/>
    <x v="55"/>
    <x v="3"/>
    <x v="1"/>
    <s v="Bicycle"/>
    <s v="Clear"/>
    <s v="Wet"/>
    <x v="1"/>
    <x v="5"/>
    <n v="1"/>
  </r>
  <r>
    <x v="67"/>
    <x v="41"/>
    <x v="3"/>
    <x v="0"/>
    <s v="Bicycle"/>
    <s v="Windy"/>
    <s v="Damaged"/>
    <x v="0"/>
    <x v="4"/>
    <n v="3"/>
  </r>
  <r>
    <x v="68"/>
    <x v="35"/>
    <x v="1"/>
    <x v="2"/>
    <s v="Motorcycle"/>
    <s v="Rainy"/>
    <s v="Under Construction"/>
    <x v="0"/>
    <x v="0"/>
    <n v="0"/>
  </r>
  <r>
    <x v="69"/>
    <x v="56"/>
    <x v="7"/>
    <x v="2"/>
    <s v="Bicycle"/>
    <s v="Foggy"/>
    <s v="Damaged"/>
    <x v="2"/>
    <x v="5"/>
    <n v="4"/>
  </r>
  <r>
    <x v="70"/>
    <x v="57"/>
    <x v="6"/>
    <x v="3"/>
    <s v="Car"/>
    <s v="Clear"/>
    <s v="Dry"/>
    <x v="2"/>
    <x v="0"/>
    <n v="2"/>
  </r>
  <r>
    <x v="71"/>
    <x v="58"/>
    <x v="1"/>
    <x v="2"/>
    <s v="Bus"/>
    <s v="Rainy"/>
    <s v="Dry"/>
    <x v="3"/>
    <x v="4"/>
    <n v="4"/>
  </r>
  <r>
    <x v="72"/>
    <x v="59"/>
    <x v="3"/>
    <x v="2"/>
    <s v="Motorcycle"/>
    <s v="Windy"/>
    <s v="Dry"/>
    <x v="2"/>
    <x v="3"/>
    <n v="1"/>
  </r>
  <r>
    <x v="73"/>
    <x v="60"/>
    <x v="3"/>
    <x v="2"/>
    <s v="Car"/>
    <s v="Clear"/>
    <s v="Wet"/>
    <x v="1"/>
    <x v="4"/>
    <n v="3"/>
  </r>
  <r>
    <x v="74"/>
    <x v="5"/>
    <x v="7"/>
    <x v="4"/>
    <s v="Bus"/>
    <s v="Rainy"/>
    <s v="Damaged"/>
    <x v="0"/>
    <x v="1"/>
    <n v="4"/>
  </r>
  <r>
    <x v="75"/>
    <x v="61"/>
    <x v="3"/>
    <x v="3"/>
    <s v="Truck"/>
    <s v="Rainy"/>
    <s v="Dry"/>
    <x v="1"/>
    <x v="3"/>
    <n v="4"/>
  </r>
  <r>
    <x v="76"/>
    <x v="62"/>
    <x v="6"/>
    <x v="3"/>
    <s v="Truck"/>
    <s v="Clear"/>
    <s v="Under Construction"/>
    <x v="2"/>
    <x v="2"/>
    <n v="2"/>
  </r>
  <r>
    <x v="77"/>
    <x v="63"/>
    <x v="6"/>
    <x v="4"/>
    <s v="Car"/>
    <s v="Clear"/>
    <s v="Damaged"/>
    <x v="1"/>
    <x v="0"/>
    <n v="0"/>
  </r>
  <r>
    <x v="78"/>
    <x v="64"/>
    <x v="1"/>
    <x v="1"/>
    <s v="Bus"/>
    <s v="Clear"/>
    <s v="Wet"/>
    <x v="2"/>
    <x v="0"/>
    <n v="5"/>
  </r>
  <r>
    <x v="79"/>
    <x v="65"/>
    <x v="5"/>
    <x v="0"/>
    <s v="Auto-Rickshaw"/>
    <s v="Rainy"/>
    <s v="Dry"/>
    <x v="2"/>
    <x v="1"/>
    <n v="4"/>
  </r>
  <r>
    <x v="80"/>
    <x v="66"/>
    <x v="4"/>
    <x v="1"/>
    <s v="Car"/>
    <s v="Clear"/>
    <s v="Dry"/>
    <x v="3"/>
    <x v="1"/>
    <n v="0"/>
  </r>
  <r>
    <x v="81"/>
    <x v="67"/>
    <x v="5"/>
    <x v="1"/>
    <s v="Bus"/>
    <s v="Windy"/>
    <s v="Wet"/>
    <x v="1"/>
    <x v="0"/>
    <n v="3"/>
  </r>
  <r>
    <x v="82"/>
    <x v="68"/>
    <x v="1"/>
    <x v="3"/>
    <s v="Motorcycle"/>
    <s v="Windy"/>
    <s v="Damaged"/>
    <x v="0"/>
    <x v="3"/>
    <n v="4"/>
  </r>
  <r>
    <x v="83"/>
    <x v="69"/>
    <x v="2"/>
    <x v="0"/>
    <s v="Motorcycle"/>
    <s v="Rainy"/>
    <s v="Under Construction"/>
    <x v="3"/>
    <x v="2"/>
    <n v="2"/>
  </r>
  <r>
    <x v="84"/>
    <x v="70"/>
    <x v="4"/>
    <x v="2"/>
    <s v="Truck"/>
    <s v="Foggy"/>
    <s v="Wet"/>
    <x v="3"/>
    <x v="5"/>
    <n v="3"/>
  </r>
  <r>
    <x v="85"/>
    <x v="56"/>
    <x v="7"/>
    <x v="2"/>
    <s v="Car"/>
    <s v="Clear"/>
    <s v="Dry"/>
    <x v="3"/>
    <x v="4"/>
    <n v="2"/>
  </r>
  <r>
    <x v="86"/>
    <x v="71"/>
    <x v="5"/>
    <x v="2"/>
    <s v="Motorcycle"/>
    <s v="Windy"/>
    <s v="Wet"/>
    <x v="0"/>
    <x v="2"/>
    <n v="1"/>
  </r>
  <r>
    <x v="87"/>
    <x v="72"/>
    <x v="0"/>
    <x v="3"/>
    <s v="Bicycle"/>
    <s v="Windy"/>
    <s v="Dry"/>
    <x v="0"/>
    <x v="3"/>
    <n v="2"/>
  </r>
  <r>
    <x v="88"/>
    <x v="3"/>
    <x v="6"/>
    <x v="3"/>
    <s v="Auto-Rickshaw"/>
    <s v="Foggy"/>
    <s v="Dry"/>
    <x v="2"/>
    <x v="5"/>
    <n v="0"/>
  </r>
  <r>
    <x v="89"/>
    <x v="73"/>
    <x v="1"/>
    <x v="1"/>
    <s v="Car"/>
    <s v="Clear"/>
    <s v="Dry"/>
    <x v="3"/>
    <x v="0"/>
    <n v="1"/>
  </r>
  <r>
    <x v="90"/>
    <x v="74"/>
    <x v="7"/>
    <x v="4"/>
    <s v="Auto-Rickshaw"/>
    <s v="Foggy"/>
    <s v="Under Construction"/>
    <x v="1"/>
    <x v="5"/>
    <n v="4"/>
  </r>
  <r>
    <x v="91"/>
    <x v="7"/>
    <x v="0"/>
    <x v="1"/>
    <s v="Bus"/>
    <s v="Clear"/>
    <s v="Damaged"/>
    <x v="1"/>
    <x v="1"/>
    <n v="1"/>
  </r>
  <r>
    <x v="92"/>
    <x v="75"/>
    <x v="2"/>
    <x v="4"/>
    <s v="Motorcycle"/>
    <s v="Foggy"/>
    <s v="Wet"/>
    <x v="3"/>
    <x v="1"/>
    <n v="5"/>
  </r>
  <r>
    <x v="93"/>
    <x v="76"/>
    <x v="7"/>
    <x v="2"/>
    <s v="Bicycle"/>
    <s v="Clear"/>
    <s v="Damaged"/>
    <x v="1"/>
    <x v="1"/>
    <n v="0"/>
  </r>
  <r>
    <x v="94"/>
    <x v="77"/>
    <x v="1"/>
    <x v="1"/>
    <s v="Bicycle"/>
    <s v="Clear"/>
    <s v="Damaged"/>
    <x v="2"/>
    <x v="4"/>
    <n v="3"/>
  </r>
  <r>
    <x v="95"/>
    <x v="78"/>
    <x v="3"/>
    <x v="2"/>
    <s v="Car"/>
    <s v="Clear"/>
    <s v="Under Construction"/>
    <x v="2"/>
    <x v="4"/>
    <n v="5"/>
  </r>
  <r>
    <x v="96"/>
    <x v="31"/>
    <x v="4"/>
    <x v="3"/>
    <s v="Truck"/>
    <s v="Windy"/>
    <s v="Damaged"/>
    <x v="1"/>
    <x v="4"/>
    <n v="3"/>
  </r>
  <r>
    <x v="97"/>
    <x v="79"/>
    <x v="4"/>
    <x v="4"/>
    <s v="Motorcycle"/>
    <s v="Windy"/>
    <s v="Wet"/>
    <x v="3"/>
    <x v="5"/>
    <n v="0"/>
  </r>
  <r>
    <x v="98"/>
    <x v="80"/>
    <x v="7"/>
    <x v="0"/>
    <s v="Auto-Rickshaw"/>
    <s v="Clear"/>
    <s v="Wet"/>
    <x v="2"/>
    <x v="4"/>
    <n v="4"/>
  </r>
  <r>
    <x v="99"/>
    <x v="18"/>
    <x v="5"/>
    <x v="4"/>
    <s v="Motorcycle"/>
    <s v="Windy"/>
    <s v="Damaged"/>
    <x v="3"/>
    <x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UST1000"/>
    <x v="0"/>
    <s v="India"/>
    <s v="Karnataka"/>
    <n v="9515759149"/>
    <x v="0"/>
    <s v="Shirt"/>
    <n v="2439.81"/>
    <x v="0"/>
    <n v="3559.55"/>
    <s v="Credit Card"/>
    <n v="12199.05"/>
    <s v="High"/>
    <n v="29.18"/>
  </r>
  <r>
    <s v="CUST1001"/>
    <x v="0"/>
    <s v="India"/>
    <s v="Karnataka"/>
    <n v="9720381947"/>
    <x v="1"/>
    <s v="Table"/>
    <n v="1621.43"/>
    <x v="1"/>
    <n v="4029.57"/>
    <s v="Net Banking"/>
    <n v="21078.59"/>
    <s v="High"/>
    <n v="19.12"/>
  </r>
  <r>
    <s v="CUST1002"/>
    <x v="1"/>
    <s v="India"/>
    <s v="West Bengal"/>
    <n v="9483465530"/>
    <x v="0"/>
    <s v="T-shirt"/>
    <n v="1363.73"/>
    <x v="2"/>
    <n v="362.2"/>
    <s v="Net Banking"/>
    <n v="1363.73"/>
    <s v="Low"/>
    <n v="26.56"/>
  </r>
  <r>
    <s v="CUST1003"/>
    <x v="1"/>
    <s v="India"/>
    <s v="West Bengal"/>
    <n v="9350165589"/>
    <x v="1"/>
    <s v="Sofa"/>
    <n v="1172.93"/>
    <x v="0"/>
    <n v="1542.65"/>
    <s v="Cash"/>
    <n v="5864.65"/>
    <s v="Medium"/>
    <n v="26.3"/>
  </r>
  <r>
    <s v="CUST1004"/>
    <x v="1"/>
    <s v="India"/>
    <s v="Karnataka"/>
    <n v="9621991901"/>
    <x v="0"/>
    <s v="Jeans"/>
    <n v="2457.56"/>
    <x v="1"/>
    <n v="6972.71"/>
    <s v="Credit Card"/>
    <n v="31948.28"/>
    <s v="High"/>
    <n v="21.82"/>
  </r>
  <r>
    <s v="CUST1005"/>
    <x v="1"/>
    <s v="India"/>
    <s v="West Bengal"/>
    <n v="9734105442"/>
    <x v="0"/>
    <s v="Dress"/>
    <n v="2661.44"/>
    <x v="3"/>
    <n v="2581.67"/>
    <s v="Net Banking"/>
    <n v="18630.080000000002"/>
    <s v="High"/>
    <n v="13.86"/>
  </r>
  <r>
    <s v="CUST1006"/>
    <x v="2"/>
    <s v="India"/>
    <s v="Tamil Nadu"/>
    <n v="9117390999"/>
    <x v="0"/>
    <s v="T-shirt"/>
    <n v="1400.82"/>
    <x v="4"/>
    <n v="994.44"/>
    <s v="UPI"/>
    <n v="8404.92"/>
    <s v="Medium"/>
    <n v="11.83"/>
  </r>
  <r>
    <s v="CUST1007"/>
    <x v="0"/>
    <s v="India"/>
    <s v="Karnataka"/>
    <n v="9513032833"/>
    <x v="1"/>
    <s v="Chair"/>
    <n v="416.18"/>
    <x v="5"/>
    <n v="327.88"/>
    <s v="Net Banking"/>
    <n v="1248.54"/>
    <s v="Low"/>
    <n v="26.26"/>
  </r>
  <r>
    <s v="CUST1008"/>
    <x v="1"/>
    <s v="India"/>
    <s v="Maharashtra"/>
    <n v="95543976868"/>
    <x v="1"/>
    <s v="Chair"/>
    <n v="1290.47"/>
    <x v="4"/>
    <n v="1045.43"/>
    <s v="Net Banking"/>
    <n v="7742.82"/>
    <s v="Medium"/>
    <n v="13.5"/>
  </r>
  <r>
    <s v="CUST1009"/>
    <x v="0"/>
    <s v="India"/>
    <s v="Gujarat"/>
    <n v="9866250123"/>
    <x v="0"/>
    <s v="T-shirt"/>
    <n v="2519.94"/>
    <x v="6"/>
    <n v="11123.31"/>
    <s v="Cash"/>
    <n v="37799.1"/>
    <s v="High"/>
    <n v="29.43"/>
  </r>
  <r>
    <s v="CUST1010"/>
    <x v="1"/>
    <s v="India"/>
    <s v="Rajasthan"/>
    <n v="9884314044"/>
    <x v="0"/>
    <s v="T-shirt"/>
    <n v="2814.97"/>
    <x v="2"/>
    <n v="716.15"/>
    <s v="Net Banking"/>
    <n v="2814.97"/>
    <s v="Low"/>
    <n v="25.44"/>
  </r>
  <r>
    <s v="CUST1011"/>
    <x v="2"/>
    <s v="India"/>
    <s v="West Bengal"/>
    <n v="9192128284"/>
    <x v="0"/>
    <s v="Jeans"/>
    <n v="841.72"/>
    <x v="1"/>
    <n v="2130.1799999999998"/>
    <s v="UPI"/>
    <n v="10942.36"/>
    <s v="High"/>
    <n v="19.47"/>
  </r>
  <r>
    <s v="CUST1012"/>
    <x v="3"/>
    <s v="India"/>
    <s v="West Bengal"/>
    <n v="9731590483"/>
    <x v="2"/>
    <s v="Tablet"/>
    <n v="1169.28"/>
    <x v="7"/>
    <n v="273.95"/>
    <s v="Credit Card"/>
    <n v="2338.56"/>
    <s v="Low"/>
    <n v="11.71"/>
  </r>
  <r>
    <s v="CUST1013"/>
    <x v="0"/>
    <s v="India"/>
    <s v="Karnataka"/>
    <n v="9245312903"/>
    <x v="1"/>
    <s v="Bookshelf"/>
    <n v="2320.0300000000002"/>
    <x v="5"/>
    <n v="1260.55"/>
    <s v="Credit Card"/>
    <n v="6960.09"/>
    <s v="Medium"/>
    <n v="18.11"/>
  </r>
  <r>
    <s v="CUST1014"/>
    <x v="3"/>
    <s v="India"/>
    <s v="West Bengal"/>
    <n v="9587137236"/>
    <x v="0"/>
    <s v="T-shirt"/>
    <n v="1780.66"/>
    <x v="8"/>
    <n v="2826.93"/>
    <s v="UPI"/>
    <n v="19587.259999999998"/>
    <s v="High"/>
    <n v="14.43"/>
  </r>
  <r>
    <s v="CUST1015"/>
    <x v="3"/>
    <s v="India"/>
    <s v="Tamil Nadu"/>
    <n v="9161819590"/>
    <x v="2"/>
    <s v="Monitor"/>
    <n v="2672"/>
    <x v="6"/>
    <n v="4719.91"/>
    <s v="Cash"/>
    <n v="40080"/>
    <s v="High"/>
    <n v="11.78"/>
  </r>
  <r>
    <s v="CUST1016"/>
    <x v="1"/>
    <s v="India"/>
    <s v="West Bengal"/>
    <n v="9551484924"/>
    <x v="0"/>
    <s v="Jacket"/>
    <n v="824.49"/>
    <x v="9"/>
    <n v="1403.14"/>
    <s v="Debit Card"/>
    <n v="7420.41"/>
    <s v="Medium"/>
    <n v="18.91"/>
  </r>
  <r>
    <s v="CUST1017"/>
    <x v="2"/>
    <s v="India"/>
    <s v="Uttar Pradesh"/>
    <n v="91682255459"/>
    <x v="2"/>
    <s v="Headphones"/>
    <n v="2896.96"/>
    <x v="3"/>
    <n v="3528.3"/>
    <s v="Net Banking"/>
    <n v="20278.72"/>
    <s v="High"/>
    <n v="17.399999999999999"/>
  </r>
  <r>
    <s v="CUST1018"/>
    <x v="1"/>
    <s v="India"/>
    <s v="Maharashtra"/>
    <n v="9277023818"/>
    <x v="2"/>
    <s v="Monitor"/>
    <n v="1235.32"/>
    <x v="9"/>
    <n v="2542.0700000000002"/>
    <s v="Debit Card"/>
    <n v="11117.88"/>
    <s v="High"/>
    <n v="22.86"/>
  </r>
  <r>
    <s v="CUST1019"/>
    <x v="2"/>
    <s v="India"/>
    <s v="Gujarat"/>
    <n v="9670448490"/>
    <x v="1"/>
    <s v="Table"/>
    <n v="2168.33"/>
    <x v="5"/>
    <n v="1394.93"/>
    <s v="Cash"/>
    <n v="6504.99"/>
    <s v="Medium"/>
    <n v="21.44"/>
  </r>
  <r>
    <s v="CUST1020"/>
    <x v="2"/>
    <s v="India"/>
    <s v="West Bengal"/>
    <n v="9123788207"/>
    <x v="0"/>
    <s v="Jacket"/>
    <n v="2654.54"/>
    <x v="0"/>
    <n v="3308.52"/>
    <s v="Debit Card"/>
    <n v="13272.7"/>
    <s v="High"/>
    <n v="24.93"/>
  </r>
  <r>
    <s v="CUST1021"/>
    <x v="0"/>
    <s v="India"/>
    <s v="Tamil Nadu"/>
    <n v="99831923457"/>
    <x v="2"/>
    <s v="Laptop"/>
    <n v="1313.77"/>
    <x v="3"/>
    <n v="2435.5500000000002"/>
    <s v="Cash"/>
    <n v="9196.39"/>
    <s v="Medium"/>
    <n v="26.48"/>
  </r>
  <r>
    <s v="CUST1022"/>
    <x v="2"/>
    <s v="India"/>
    <s v="Gujarat"/>
    <n v="9822358874"/>
    <x v="2"/>
    <s v="Headphones"/>
    <n v="1602.24"/>
    <x v="1"/>
    <n v="3082.85"/>
    <s v="Debit Card"/>
    <n v="20829.12"/>
    <s v="High"/>
    <n v="14.8"/>
  </r>
  <r>
    <s v="CUST1023"/>
    <x v="0"/>
    <s v="India"/>
    <s v="Uttar Pradesh"/>
    <n v="9497595031"/>
    <x v="1"/>
    <s v="Sofa"/>
    <n v="592.33000000000004"/>
    <x v="10"/>
    <n v="539.64"/>
    <s v="Net Banking"/>
    <n v="2369.3200000000002"/>
    <s v="Low"/>
    <n v="22.78"/>
  </r>
  <r>
    <s v="CUST1024"/>
    <x v="1"/>
    <s v="India"/>
    <s v="Rajasthan"/>
    <n v="9781615192"/>
    <x v="2"/>
    <s v="Monitor"/>
    <n v="589.14"/>
    <x v="11"/>
    <n v="1252.56"/>
    <s v="Cash"/>
    <n v="4713.12"/>
    <s v="Low"/>
    <n v="26.58"/>
  </r>
  <r>
    <s v="CUST1025"/>
    <x v="3"/>
    <s v="India"/>
    <s v="Uttar Pradesh"/>
    <n v="9310431691"/>
    <x v="1"/>
    <s v="Chair"/>
    <n v="2354.6"/>
    <x v="10"/>
    <n v="2575.4299999999998"/>
    <s v="Credit Card"/>
    <n v="9418.4"/>
    <s v="Medium"/>
    <n v="27.34"/>
  </r>
  <r>
    <s v="CUST1026"/>
    <x v="2"/>
    <s v="India"/>
    <s v="Uttar Pradesh"/>
    <n v="9375633062"/>
    <x v="2"/>
    <s v="Smartphone"/>
    <n v="1920.55"/>
    <x v="4"/>
    <n v="2254.59"/>
    <s v="Credit Card"/>
    <n v="11523.3"/>
    <s v="High"/>
    <n v="19.57"/>
  </r>
  <r>
    <s v="CUST1027"/>
    <x v="2"/>
    <s v="India"/>
    <s v="West Bengal"/>
    <n v="9958467371"/>
    <x v="0"/>
    <s v="Dress"/>
    <n v="1086.4100000000001"/>
    <x v="3"/>
    <n v="2066.7600000000002"/>
    <s v="Credit Card"/>
    <n v="7604.87"/>
    <s v="Medium"/>
    <n v="27.18"/>
  </r>
  <r>
    <s v="CUST1028"/>
    <x v="2"/>
    <s v="India"/>
    <s v="West Bengal"/>
    <n v="9485913642"/>
    <x v="1"/>
    <s v="Bookshelf"/>
    <n v="1181.07"/>
    <x v="1"/>
    <n v="3821.07"/>
    <s v="Cash"/>
    <n v="15353.91"/>
    <s v="High"/>
    <n v="24.89"/>
  </r>
  <r>
    <s v="CUST1029"/>
    <x v="2"/>
    <s v="India"/>
    <s v="Uttar Pradesh"/>
    <n v="9942727052"/>
    <x v="1"/>
    <s v="Cupboard"/>
    <n v="2521.1999999999998"/>
    <x v="11"/>
    <n v="6046.68"/>
    <s v="Credit Card"/>
    <n v="20169.599999999999"/>
    <s v="High"/>
    <n v="29.98"/>
  </r>
  <r>
    <s v="CUST1030"/>
    <x v="1"/>
    <s v="India"/>
    <s v="Gujarat"/>
    <n v="9164209990"/>
    <x v="0"/>
    <s v="Jeans"/>
    <n v="1741.71"/>
    <x v="6"/>
    <n v="4026.14"/>
    <s v="UPI"/>
    <n v="26125.65"/>
    <s v="High"/>
    <n v="15.41"/>
  </r>
  <r>
    <s v="CUST1031"/>
    <x v="1"/>
    <s v="India"/>
    <s v="Uttar Pradesh"/>
    <n v="9972130283"/>
    <x v="1"/>
    <s v="Sofa"/>
    <n v="1691.18"/>
    <x v="9"/>
    <n v="3286.83"/>
    <s v="Net Banking"/>
    <n v="15220.62"/>
    <s v="High"/>
    <n v="21.59"/>
  </r>
  <r>
    <s v="CUST1032"/>
    <x v="1"/>
    <s v="India"/>
    <s v="Uttar Pradesh"/>
    <n v="9305312346"/>
    <x v="0"/>
    <s v="Jacket"/>
    <n v="2430.4899999999998"/>
    <x v="2"/>
    <n v="538.34"/>
    <s v="Debit Card"/>
    <n v="2430.4899999999998"/>
    <s v="Low"/>
    <n v="22.15"/>
  </r>
  <r>
    <s v="CUST1033"/>
    <x v="0"/>
    <s v="India"/>
    <s v="Uttar Pradesh"/>
    <n v="9403336927"/>
    <x v="0"/>
    <s v="Dress"/>
    <n v="1937.5"/>
    <x v="12"/>
    <n v="2548.08"/>
    <s v="UPI"/>
    <n v="19375"/>
    <s v="High"/>
    <n v="13.15"/>
  </r>
  <r>
    <s v="CUST1034"/>
    <x v="3"/>
    <s v="India"/>
    <s v="Karnataka"/>
    <n v="9209432112"/>
    <x v="0"/>
    <s v="T-shirt"/>
    <n v="2848.61"/>
    <x v="6"/>
    <n v="6188.69"/>
    <s v="Debit Card"/>
    <n v="42729.15"/>
    <s v="High"/>
    <n v="14.48"/>
  </r>
  <r>
    <s v="CUST1035"/>
    <x v="3"/>
    <s v="India"/>
    <s v="Maharashtra"/>
    <n v="92886736565"/>
    <x v="1"/>
    <s v="Cupboard"/>
    <n v="537.01"/>
    <x v="6"/>
    <n v="848.33"/>
    <s v="Debit Card"/>
    <n v="8055.15"/>
    <s v="Medium"/>
    <n v="10.53"/>
  </r>
  <r>
    <s v="CUST1036"/>
    <x v="2"/>
    <s v="India"/>
    <s v="Karnataka"/>
    <n v="9696039067"/>
    <x v="1"/>
    <s v="Sofa"/>
    <n v="2052.79"/>
    <x v="2"/>
    <n v="296.79000000000002"/>
    <s v="Net Banking"/>
    <n v="2052.79"/>
    <s v="Low"/>
    <n v="14.46"/>
  </r>
  <r>
    <s v="CUST1037"/>
    <x v="2"/>
    <s v="India"/>
    <s v="Maharashtra"/>
    <n v="9729755086"/>
    <x v="0"/>
    <s v="Jacket"/>
    <n v="1708.1"/>
    <x v="5"/>
    <n v="897.22"/>
    <s v="Credit Card"/>
    <n v="5124.3"/>
    <s v="Medium"/>
    <n v="17.510000000000002"/>
  </r>
  <r>
    <s v="CUST1038"/>
    <x v="2"/>
    <s v="India"/>
    <s v="Uttar Pradesh"/>
    <n v="9291717779"/>
    <x v="2"/>
    <s v="Headphones"/>
    <n v="1616.55"/>
    <x v="13"/>
    <n v="6621.29"/>
    <s v="Credit Card"/>
    <n v="22631.7"/>
    <s v="High"/>
    <n v="29.26"/>
  </r>
  <r>
    <s v="CUST1039"/>
    <x v="2"/>
    <s v="India"/>
    <s v="Karnataka"/>
    <n v="9596984707"/>
    <x v="0"/>
    <s v="Jeans"/>
    <n v="1774.62"/>
    <x v="3"/>
    <n v="3378.16"/>
    <s v="Credit Card"/>
    <n v="12422.34"/>
    <s v="High"/>
    <n v="27.19"/>
  </r>
  <r>
    <s v="CUST1040"/>
    <x v="1"/>
    <s v="India"/>
    <s v="Gujarat"/>
    <n v="9621477109"/>
    <x v="2"/>
    <s v="Smartphone"/>
    <n v="644.14"/>
    <x v="14"/>
    <n v="988.52"/>
    <s v="Cash"/>
    <n v="7729.68"/>
    <s v="Medium"/>
    <n v="12.79"/>
  </r>
  <r>
    <s v="CUST1041"/>
    <x v="1"/>
    <s v="India"/>
    <s v="West Bengal"/>
    <n v="9813614929"/>
    <x v="1"/>
    <s v="Sofa"/>
    <n v="1767.47"/>
    <x v="1"/>
    <n v="3353.4"/>
    <s v="UPI"/>
    <n v="22977.11"/>
    <s v="High"/>
    <n v="14.59"/>
  </r>
  <r>
    <s v="CUST1042"/>
    <x v="2"/>
    <s v="India"/>
    <s v="Tamil Nadu"/>
    <n v="9314930259"/>
    <x v="0"/>
    <s v="Dress"/>
    <n v="2506.6"/>
    <x v="8"/>
    <n v="8011.16"/>
    <s v="UPI"/>
    <n v="27572.6"/>
    <s v="High"/>
    <n v="29.05"/>
  </r>
  <r>
    <s v="CUST1043"/>
    <x v="0"/>
    <s v="India"/>
    <s v="West Bengal"/>
    <n v="93262535688"/>
    <x v="2"/>
    <s v="Tablet"/>
    <n v="727.87"/>
    <x v="7"/>
    <n v="385.93"/>
    <s v="Credit Card"/>
    <n v="1455.74"/>
    <s v="Low"/>
    <n v="26.51"/>
  </r>
  <r>
    <s v="CUST1044"/>
    <x v="0"/>
    <s v="India"/>
    <s v="Uttar Pradesh"/>
    <n v="9922473225"/>
    <x v="1"/>
    <s v="Sofa"/>
    <n v="2509.39"/>
    <x v="10"/>
    <n v="2607.48"/>
    <s v="Credit Card"/>
    <n v="10037.56"/>
    <s v="High"/>
    <n v="25.98"/>
  </r>
  <r>
    <s v="CUST1045"/>
    <x v="3"/>
    <s v="India"/>
    <s v="Rajasthan"/>
    <n v="9435049619"/>
    <x v="2"/>
    <s v="Monitor"/>
    <n v="254.27"/>
    <x v="0"/>
    <n v="247.89"/>
    <s v="Net Banking"/>
    <n v="1271.3499999999999"/>
    <s v="Low"/>
    <n v="19.5"/>
  </r>
  <r>
    <s v="CUST1046"/>
    <x v="2"/>
    <s v="India"/>
    <s v="Uttar Pradesh"/>
    <n v="9139717689"/>
    <x v="2"/>
    <s v="Tablet"/>
    <n v="1104.23"/>
    <x v="8"/>
    <n v="1883.37"/>
    <s v="Credit Card"/>
    <n v="12146.53"/>
    <s v="High"/>
    <n v="15.51"/>
  </r>
  <r>
    <s v="CUST1047"/>
    <x v="1"/>
    <s v="India"/>
    <s v="West Bengal"/>
    <n v="9873282041"/>
    <x v="2"/>
    <s v="Laptop"/>
    <n v="861.53"/>
    <x v="5"/>
    <n v="482.01"/>
    <s v="Debit Card"/>
    <n v="2584.59"/>
    <s v="Low"/>
    <n v="18.649999999999999"/>
  </r>
  <r>
    <s v="CUST1048"/>
    <x v="3"/>
    <s v="India"/>
    <s v="West Bengal"/>
    <n v="9520705759"/>
    <x v="0"/>
    <s v="T-shirt"/>
    <n v="940.76"/>
    <x v="10"/>
    <n v="842.47"/>
    <s v="Debit Card"/>
    <n v="3763.04"/>
    <s v="Low"/>
    <n v="22.39"/>
  </r>
  <r>
    <s v="CUST1049"/>
    <x v="2"/>
    <s v="India"/>
    <s v="West Bengal"/>
    <n v="9648648568"/>
    <x v="0"/>
    <s v="T-shirt"/>
    <n v="1505.5"/>
    <x v="8"/>
    <n v="3985.19"/>
    <s v="Debit Card"/>
    <n v="16560.5"/>
    <s v="High"/>
    <n v="24.06"/>
  </r>
  <r>
    <s v="CUST1050"/>
    <x v="0"/>
    <s v="India"/>
    <s v="Uttar Pradesh"/>
    <n v="9416435713"/>
    <x v="0"/>
    <s v="Jeans"/>
    <n v="1477.49"/>
    <x v="8"/>
    <n v="2428.98"/>
    <s v="Credit Card"/>
    <n v="16252.39"/>
    <s v="High"/>
    <n v="14.95"/>
  </r>
  <r>
    <s v="CUST1051"/>
    <x v="2"/>
    <s v="India"/>
    <s v="Rajasthan"/>
    <n v="9211381294"/>
    <x v="1"/>
    <s v="Chair"/>
    <n v="704.64"/>
    <x v="7"/>
    <n v="163.57"/>
    <s v="UPI"/>
    <n v="1409.28"/>
    <s v="Low"/>
    <n v="11.61"/>
  </r>
  <r>
    <s v="CUST1052"/>
    <x v="3"/>
    <s v="India"/>
    <s v="West Bengal"/>
    <n v="9791244114"/>
    <x v="1"/>
    <s v="Cupboard"/>
    <n v="2030.2"/>
    <x v="1"/>
    <n v="3695.03"/>
    <s v="Net Banking"/>
    <n v="26392.6"/>
    <s v="High"/>
    <n v="14"/>
  </r>
  <r>
    <s v="CUST1053"/>
    <x v="0"/>
    <s v="India"/>
    <s v="Rajasthan"/>
    <n v="9194670146"/>
    <x v="0"/>
    <s v="Shirt"/>
    <n v="1822.28"/>
    <x v="10"/>
    <n v="1973.2"/>
    <s v="Cash"/>
    <n v="7289.12"/>
    <s v="Medium"/>
    <n v="27.07"/>
  </r>
  <r>
    <s v="CUST1054"/>
    <x v="3"/>
    <s v="India"/>
    <s v="Maharashtra"/>
    <n v="9519275644"/>
    <x v="1"/>
    <s v="Sofa"/>
    <n v="600.17999999999995"/>
    <x v="8"/>
    <n v="1525.57"/>
    <s v="Credit Card"/>
    <n v="6601.98"/>
    <s v="Medium"/>
    <n v="23.11"/>
  </r>
  <r>
    <s v="CUST1055"/>
    <x v="1"/>
    <s v="India"/>
    <s v="Maharashtra"/>
    <n v="9520013561"/>
    <x v="0"/>
    <s v="T-shirt"/>
    <n v="2330.36"/>
    <x v="3"/>
    <n v="3532.26"/>
    <s v="Debit Card"/>
    <n v="16312.52"/>
    <s v="High"/>
    <n v="21.65"/>
  </r>
  <r>
    <s v="CUST1056"/>
    <x v="3"/>
    <s v="India"/>
    <s v="Gujarat"/>
    <n v="95989895092"/>
    <x v="2"/>
    <s v="Headphones"/>
    <n v="1084.67"/>
    <x v="1"/>
    <n v="4140.1400000000003"/>
    <s v="Cash"/>
    <n v="14100.71"/>
    <s v="High"/>
    <n v="29.36"/>
  </r>
  <r>
    <s v="CUST1057"/>
    <x v="2"/>
    <s v="India"/>
    <s v="Uttar Pradesh"/>
    <n v="9499862542"/>
    <x v="1"/>
    <s v="Cupboard"/>
    <n v="1893.55"/>
    <x v="14"/>
    <n v="3204.64"/>
    <s v="Net Banking"/>
    <n v="22722.6"/>
    <s v="High"/>
    <n v="14.1"/>
  </r>
  <r>
    <s v="CUST1058"/>
    <x v="3"/>
    <s v="India"/>
    <s v="Gujarat"/>
    <n v="9724136290"/>
    <x v="1"/>
    <s v="Chair"/>
    <n v="1747.22"/>
    <x v="4"/>
    <n v="2678.22"/>
    <s v="Cash"/>
    <n v="10483.32"/>
    <s v="High"/>
    <n v="25.55"/>
  </r>
  <r>
    <s v="CUST1059"/>
    <x v="2"/>
    <s v="India"/>
    <s v="Gujarat"/>
    <n v="9321909198"/>
    <x v="1"/>
    <s v="Bookshelf"/>
    <n v="287.31"/>
    <x v="11"/>
    <n v="381.56"/>
    <s v="Debit Card"/>
    <n v="2298.48"/>
    <s v="Low"/>
    <n v="16.600000000000001"/>
  </r>
  <r>
    <s v="CUST1060"/>
    <x v="3"/>
    <s v="India"/>
    <s v="Maharashtra"/>
    <n v="9760693305"/>
    <x v="0"/>
    <s v="Shirt"/>
    <n v="1700.05"/>
    <x v="7"/>
    <n v="383.92"/>
    <s v="UPI"/>
    <n v="3400.1"/>
    <s v="Low"/>
    <n v="11.29"/>
  </r>
  <r>
    <s v="CUST1061"/>
    <x v="2"/>
    <s v="India"/>
    <s v="Gujarat"/>
    <n v="9658575570"/>
    <x v="1"/>
    <s v="Bookshelf"/>
    <n v="1180.31"/>
    <x v="3"/>
    <n v="847.73"/>
    <s v="UPI"/>
    <n v="8262.17"/>
    <s v="Medium"/>
    <n v="10.26"/>
  </r>
  <r>
    <s v="CUST1062"/>
    <x v="1"/>
    <s v="India"/>
    <s v="Gujarat"/>
    <n v="9950273824"/>
    <x v="1"/>
    <s v="Cupboard"/>
    <n v="653.35"/>
    <x v="10"/>
    <n v="345.46"/>
    <s v="Credit Card"/>
    <n v="2613.4"/>
    <s v="Low"/>
    <n v="13.22"/>
  </r>
  <r>
    <s v="CUST1063"/>
    <x v="1"/>
    <s v="India"/>
    <s v="Tamil Nadu"/>
    <n v="9898816813"/>
    <x v="2"/>
    <s v="Laptop"/>
    <n v="1881.74"/>
    <x v="10"/>
    <n v="1363.83"/>
    <s v="Debit Card"/>
    <n v="7526.96"/>
    <s v="Medium"/>
    <n v="18.12"/>
  </r>
  <r>
    <s v="CUST1064"/>
    <x v="3"/>
    <s v="India"/>
    <s v="Rajasthan"/>
    <n v="9571594565"/>
    <x v="1"/>
    <s v="Table"/>
    <n v="1206.3499999999999"/>
    <x v="6"/>
    <n v="2801.82"/>
    <s v="UPI"/>
    <n v="18095.25"/>
    <s v="High"/>
    <n v="15.48"/>
  </r>
  <r>
    <s v="CUST1065"/>
    <x v="1"/>
    <s v="India"/>
    <s v="Maharashtra"/>
    <n v="9684352160"/>
    <x v="0"/>
    <s v="Jacket"/>
    <n v="1849.95"/>
    <x v="0"/>
    <n v="2111.02"/>
    <s v="Debit Card"/>
    <n v="9249.75"/>
    <s v="Medium"/>
    <n v="22.82"/>
  </r>
  <r>
    <s v="CUST1066"/>
    <x v="0"/>
    <s v="India"/>
    <s v="West Bengal"/>
    <n v="9845713875"/>
    <x v="2"/>
    <s v="Tablet"/>
    <n v="1896.1"/>
    <x v="0"/>
    <n v="2676.46"/>
    <s v="Debit Card"/>
    <n v="9480.5"/>
    <s v="Medium"/>
    <n v="28.23"/>
  </r>
  <r>
    <s v="CUST1067"/>
    <x v="1"/>
    <s v="India"/>
    <s v="Tamil Nadu"/>
    <n v="85"/>
    <x v="1"/>
    <s v="Bookshelf"/>
    <n v="1799.6"/>
    <x v="4"/>
    <n v="1551.79"/>
    <s v="Cash"/>
    <n v="10797.6"/>
    <s v="High"/>
    <n v="14.37"/>
  </r>
  <r>
    <s v="CUST1068"/>
    <x v="3"/>
    <s v="India"/>
    <s v="Karnataka"/>
    <n v="9304184751"/>
    <x v="1"/>
    <s v="Cupboard"/>
    <n v="1330.26"/>
    <x v="7"/>
    <n v="669.54"/>
    <s v="Credit Card"/>
    <n v="2660.52"/>
    <s v="Low"/>
    <n v="25.17"/>
  </r>
  <r>
    <s v="CUST1069"/>
    <x v="3"/>
    <s v="India"/>
    <s v="Rajasthan"/>
    <n v="9141039856"/>
    <x v="2"/>
    <s v="Smartphone"/>
    <n v="322.57"/>
    <x v="1"/>
    <n v="684.45"/>
    <s v="Debit Card"/>
    <n v="4193.41"/>
    <s v="Low"/>
    <n v="16.32"/>
  </r>
  <r>
    <s v="CUST1070"/>
    <x v="2"/>
    <s v="India"/>
    <s v="Tamil Nadu"/>
    <n v="9640589740"/>
    <x v="2"/>
    <s v="Tablet"/>
    <n v="1510.41"/>
    <x v="2"/>
    <n v="434.79"/>
    <s v="Net Banking"/>
    <n v="1510.41"/>
    <s v="Low"/>
    <n v="28.79"/>
  </r>
  <r>
    <s v="CUST1071"/>
    <x v="1"/>
    <s v="India"/>
    <s v="Karnataka"/>
    <n v="9406517796"/>
    <x v="0"/>
    <s v="Dress"/>
    <n v="1085.52"/>
    <x v="10"/>
    <n v="749.57"/>
    <s v="Credit Card"/>
    <n v="4342.08"/>
    <s v="Low"/>
    <n v="17.260000000000002"/>
  </r>
  <r>
    <s v="CUST1072"/>
    <x v="1"/>
    <s v="India"/>
    <s v="Maharashtra"/>
    <n v="9606169051"/>
    <x v="1"/>
    <s v="Table"/>
    <n v="1441.79"/>
    <x v="13"/>
    <n v="3929.03"/>
    <s v="Debit Card"/>
    <n v="20185.060000000001"/>
    <s v="High"/>
    <n v="19.47"/>
  </r>
  <r>
    <s v="CUST1073"/>
    <x v="3"/>
    <s v="India"/>
    <s v="Rajasthan"/>
    <n v="9350461925"/>
    <x v="1"/>
    <s v="Cupboard"/>
    <n v="686.64"/>
    <x v="11"/>
    <n v="878.07"/>
    <s v="Credit Card"/>
    <n v="5493.12"/>
    <s v="Medium"/>
    <n v="15.98"/>
  </r>
  <r>
    <s v="CUST1074"/>
    <x v="0"/>
    <s v="India"/>
    <s v="West Bengal"/>
    <n v="9996467468"/>
    <x v="0"/>
    <s v="Dress"/>
    <n v="2830.64"/>
    <x v="4"/>
    <n v="1830.75"/>
    <s v="Credit Card"/>
    <n v="16983.84"/>
    <s v="High"/>
    <n v="10.78"/>
  </r>
  <r>
    <s v="CUST1075"/>
    <x v="0"/>
    <s v="India"/>
    <s v="Rajasthan"/>
    <n v="9128345710"/>
    <x v="2"/>
    <s v="Headphones"/>
    <n v="2619.08"/>
    <x v="4"/>
    <n v="4245.2299999999996"/>
    <s v="Net Banking"/>
    <n v="15714.48"/>
    <s v="High"/>
    <n v="27.01"/>
  </r>
  <r>
    <s v="CUST1076"/>
    <x v="2"/>
    <s v="India"/>
    <s v="Gujarat"/>
    <n v="9392055351"/>
    <x v="0"/>
    <s v="Jeans"/>
    <n v="503.93"/>
    <x v="8"/>
    <n v="1183.48"/>
    <s v="Cash"/>
    <n v="5543.23"/>
    <s v="Medium"/>
    <n v="21.35"/>
  </r>
  <r>
    <s v="CUST1077"/>
    <x v="1"/>
    <s v="India"/>
    <s v="Tamil Nadu"/>
    <n v="9980141994"/>
    <x v="1"/>
    <s v="Bookshelf"/>
    <n v="467.71"/>
    <x v="14"/>
    <n v="1223.23"/>
    <s v="Credit Card"/>
    <n v="5612.52"/>
    <s v="Medium"/>
    <n v="21.79"/>
  </r>
  <r>
    <s v="CUST1078"/>
    <x v="0"/>
    <s v="India"/>
    <s v="Maharashtra"/>
    <n v="9403999543"/>
    <x v="1"/>
    <s v="Chair"/>
    <n v="2307.34"/>
    <x v="13"/>
    <n v="3571.15"/>
    <s v="Debit Card"/>
    <n v="32302.76"/>
    <s v="High"/>
    <n v="11.06"/>
  </r>
  <r>
    <s v="CUST1079"/>
    <x v="3"/>
    <s v="India"/>
    <s v="Uttar Pradesh"/>
    <n v="9164427200"/>
    <x v="2"/>
    <s v="Tablet"/>
    <n v="1513.57"/>
    <x v="13"/>
    <n v="5761.18"/>
    <s v="Credit Card"/>
    <n v="21189.98"/>
    <s v="High"/>
    <n v="27.19"/>
  </r>
  <r>
    <s v="CUST1080"/>
    <x v="3"/>
    <s v="India"/>
    <s v="Maharashtra"/>
    <n v="858947"/>
    <x v="1"/>
    <s v="Cupboard"/>
    <n v="2213.4499999999998"/>
    <x v="5"/>
    <n v="867.33"/>
    <s v="Debit Card"/>
    <n v="6640.35"/>
    <s v="Medium"/>
    <n v="13.06"/>
  </r>
  <r>
    <s v="CUST1081"/>
    <x v="1"/>
    <s v="India"/>
    <s v="Tamil Nadu"/>
    <n v="9789825611"/>
    <x v="0"/>
    <s v="Dress"/>
    <n v="384.21"/>
    <x v="0"/>
    <n v="354.16"/>
    <s v="Debit Card"/>
    <n v="1921.05"/>
    <s v="Low"/>
    <n v="18.440000000000001"/>
  </r>
  <r>
    <s v="CUST1082"/>
    <x v="2"/>
    <s v="India"/>
    <s v="Maharashtra"/>
    <n v="9371462183"/>
    <x v="2"/>
    <s v="Headphones"/>
    <n v="498.41"/>
    <x v="3"/>
    <n v="435.36"/>
    <s v="UPI"/>
    <n v="3488.87"/>
    <s v="Low"/>
    <n v="12.48"/>
  </r>
  <r>
    <s v="CUST1083"/>
    <x v="3"/>
    <s v="India"/>
    <s v="Maharashtra"/>
    <n v="9444893207"/>
    <x v="0"/>
    <s v="Dress"/>
    <n v="1599.24"/>
    <x v="12"/>
    <n v="4368.75"/>
    <s v="UPI"/>
    <n v="15992.4"/>
    <s v="High"/>
    <n v="27.32"/>
  </r>
  <r>
    <s v="CUST1084"/>
    <x v="0"/>
    <s v="India"/>
    <s v="Rajasthan"/>
    <n v="9339358166"/>
    <x v="1"/>
    <s v="Sofa"/>
    <n v="962.07"/>
    <x v="9"/>
    <n v="905.89"/>
    <s v="UPI"/>
    <n v="8658.6299999999992"/>
    <s v="Medium"/>
    <n v="10.46"/>
  </r>
  <r>
    <s v="CUST1085"/>
    <x v="0"/>
    <s v="India"/>
    <s v="West Bengal"/>
    <n v="9119201960"/>
    <x v="1"/>
    <s v="Bookshelf"/>
    <n v="1673.22"/>
    <x v="3"/>
    <n v="1935.04"/>
    <s v="Debit Card"/>
    <n v="11712.54"/>
    <s v="High"/>
    <n v="16.52"/>
  </r>
  <r>
    <s v="CUST1086"/>
    <x v="0"/>
    <s v="India"/>
    <s v="Tamil Nadu"/>
    <n v="9161700373"/>
    <x v="0"/>
    <s v="T-shirt"/>
    <n v="791.24"/>
    <x v="10"/>
    <n v="366.17"/>
    <s v="UPI"/>
    <n v="3164.96"/>
    <s v="Low"/>
    <n v="11.57"/>
  </r>
  <r>
    <s v="CUST1087"/>
    <x v="1"/>
    <s v="India"/>
    <s v="Uttar Pradesh"/>
    <n v="9242580997"/>
    <x v="0"/>
    <s v="Jeans"/>
    <n v="1210.8599999999999"/>
    <x v="5"/>
    <n v="698.75"/>
    <s v="UPI"/>
    <n v="3632.58"/>
    <s v="Low"/>
    <n v="19.239999999999998"/>
  </r>
  <r>
    <s v="CUST1088"/>
    <x v="3"/>
    <s v="India"/>
    <s v="Gujarat"/>
    <n v="9370714466"/>
    <x v="0"/>
    <s v="T-shirt"/>
    <n v="619.57000000000005"/>
    <x v="3"/>
    <n v="562.75"/>
    <s v="UPI"/>
    <n v="4336.99"/>
    <s v="Low"/>
    <n v="12.98"/>
  </r>
  <r>
    <s v="CUST1089"/>
    <x v="0"/>
    <s v="India"/>
    <s v="Maharashtra"/>
    <n v="9427647839"/>
    <x v="2"/>
    <s v="Monitor"/>
    <n v="308.5"/>
    <x v="6"/>
    <n v="802.96"/>
    <s v="Credit Card"/>
    <n v="4627.5"/>
    <s v="Low"/>
    <n v="17.350000000000001"/>
  </r>
  <r>
    <s v="CUST1090"/>
    <x v="2"/>
    <s v="India"/>
    <s v="Maharashtra"/>
    <n v="9942075195"/>
    <x v="0"/>
    <s v="Dress"/>
    <n v="1853.37"/>
    <x v="0"/>
    <n v="1661.2"/>
    <s v="Credit Card"/>
    <n v="9266.85"/>
    <s v="Medium"/>
    <n v="17.93"/>
  </r>
  <r>
    <s v="CUST1091"/>
    <x v="1"/>
    <s v="India"/>
    <s v="Rajasthan"/>
    <n v="9857569233"/>
    <x v="0"/>
    <s v="Jacket"/>
    <n v="2501.48"/>
    <x v="4"/>
    <n v="4142.5200000000004"/>
    <s v="Net Banking"/>
    <n v="15008.88"/>
    <s v="High"/>
    <n v="27.6"/>
  </r>
  <r>
    <s v="CUST1092"/>
    <x v="1"/>
    <s v="India"/>
    <s v="Karnataka"/>
    <n v="9944969047"/>
    <x v="2"/>
    <s v="Laptop"/>
    <n v="2596.13"/>
    <x v="0"/>
    <n v="1453.33"/>
    <s v="Net Banking"/>
    <n v="12980.65"/>
    <s v="High"/>
    <n v="11.2"/>
  </r>
  <r>
    <s v="CUST1093"/>
    <x v="0"/>
    <s v="India"/>
    <s v="West Bengal"/>
    <n v="56428436"/>
    <x v="2"/>
    <s v="Headphones"/>
    <n v="2209.52"/>
    <x v="4"/>
    <n v="3760.49"/>
    <s v="Net Banking"/>
    <n v="13257.12"/>
    <s v="High"/>
    <n v="28.37"/>
  </r>
  <r>
    <s v="CUST1094"/>
    <x v="2"/>
    <s v="India"/>
    <s v="Gujarat"/>
    <n v="9705241364"/>
    <x v="1"/>
    <s v="Sofa"/>
    <n v="458.7"/>
    <x v="3"/>
    <n v="839.97"/>
    <s v="Net Banking"/>
    <n v="3210.9"/>
    <s v="Low"/>
    <n v="26.16"/>
  </r>
  <r>
    <s v="CUST1095"/>
    <x v="2"/>
    <s v="India"/>
    <s v="Karnataka"/>
    <n v="9245776255"/>
    <x v="0"/>
    <s v="Jeans"/>
    <n v="833.16"/>
    <x v="14"/>
    <n v="2135.63"/>
    <s v="Net Banking"/>
    <n v="9997.92"/>
    <s v="Medium"/>
    <n v="21.36"/>
  </r>
  <r>
    <s v="CUST1096"/>
    <x v="2"/>
    <s v="India"/>
    <s v="Uttar Pradesh"/>
    <n v="9881212856"/>
    <x v="0"/>
    <s v="Jeans"/>
    <n v="238.37"/>
    <x v="1"/>
    <n v="586.94000000000005"/>
    <s v="Net Banking"/>
    <n v="3098.81"/>
    <s v="Low"/>
    <n v="18.940000000000001"/>
  </r>
  <r>
    <s v="CUST1097"/>
    <x v="0"/>
    <s v="India"/>
    <s v="Gujarat"/>
    <n v="9916091858"/>
    <x v="0"/>
    <s v="Dress"/>
    <n v="820.05"/>
    <x v="5"/>
    <n v="419.41"/>
    <s v="UPI"/>
    <n v="2460.15"/>
    <s v="Low"/>
    <n v="17.05"/>
  </r>
  <r>
    <s v="CUST1098"/>
    <x v="3"/>
    <s v="India"/>
    <s v="Karnataka"/>
    <n v="9425191872"/>
    <x v="2"/>
    <s v="Headphones"/>
    <n v="2716.33"/>
    <x v="11"/>
    <n v="5513.14"/>
    <s v="Net Banking"/>
    <n v="21730.639999999999"/>
    <s v="High"/>
    <n v="25.37"/>
  </r>
  <r>
    <s v="CUST1099"/>
    <x v="3"/>
    <s v="India"/>
    <s v="Uttar Pradesh"/>
    <n v="9459337548"/>
    <x v="0"/>
    <s v="Jacket"/>
    <n v="1918.81"/>
    <x v="2"/>
    <n v="442.75"/>
    <s v="Cash"/>
    <n v="1918.81"/>
    <s v="Low"/>
    <n v="23.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E538BD-2118-4187-8463-9CCDA931D7DB}"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4">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s>
  <rowFields count="1">
    <field x="1"/>
  </rowFields>
  <rowItems count="5">
    <i>
      <x/>
    </i>
    <i>
      <x v="1"/>
    </i>
    <i>
      <x v="2"/>
    </i>
    <i>
      <x v="3"/>
    </i>
    <i t="grand">
      <x/>
    </i>
  </rowItems>
  <colFields count="1">
    <field x="-2"/>
  </colFields>
  <colItems count="2">
    <i>
      <x/>
    </i>
    <i i="1">
      <x v="1"/>
    </i>
  </colItems>
  <dataFields count="2">
    <dataField name="Sum of Profit" fld="9" baseField="0" baseItem="0"/>
    <dataField name="Sum of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7C8FF1-5815-4ABC-9385-CA843EC39F2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showAll="0"/>
    <pivotField showAll="0"/>
    <pivotField showAll="0"/>
    <pivotField showAll="0"/>
    <pivotField showAll="0"/>
    <pivotField axis="axisRow" showAll="0">
      <items count="4">
        <item x="0"/>
        <item x="2"/>
        <item x="1"/>
        <item t="default"/>
      </items>
    </pivotField>
    <pivotField showAll="0"/>
    <pivotField showAll="0"/>
    <pivotField dataField="1" showAll="0">
      <items count="16">
        <item x="2"/>
        <item x="7"/>
        <item x="5"/>
        <item x="10"/>
        <item x="0"/>
        <item x="4"/>
        <item x="3"/>
        <item x="11"/>
        <item x="9"/>
        <item x="12"/>
        <item x="8"/>
        <item x="14"/>
        <item x="1"/>
        <item x="13"/>
        <item x="6"/>
        <item t="default"/>
      </items>
    </pivotField>
    <pivotField showAll="0"/>
    <pivotField showAll="0"/>
    <pivotField showAll="0"/>
    <pivotField showAll="0"/>
    <pivotField showAll="0"/>
  </pivotFields>
  <rowFields count="1">
    <field x="5"/>
  </rowFields>
  <rowItems count="4">
    <i>
      <x/>
    </i>
    <i>
      <x v="1"/>
    </i>
    <i>
      <x v="2"/>
    </i>
    <i t="grand">
      <x/>
    </i>
  </rowItems>
  <colItems count="1">
    <i/>
  </colItems>
  <dataFields count="1">
    <dataField name="Average of Units Sold" fld="8"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5863BC-28B9-464A-8ABD-2D7F61CDDD6A}" name="Pivot Table of ACCident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F24" firstHeaderRow="1" firstDataRow="2" firstDataCol="1" rowPageCount="2" colPageCount="1"/>
  <pivotFields count="12">
    <pivotField axis="axisRow"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showAll="0">
      <items count="9">
        <item x="5"/>
        <item x="3"/>
        <item x="6"/>
        <item x="4"/>
        <item x="0"/>
        <item x="7"/>
        <item x="1"/>
        <item x="2"/>
        <item t="default"/>
      </items>
    </pivotField>
    <pivotField axis="axisPage" multipleItemSelectionAllowed="1" showAll="0">
      <items count="6">
        <item h="1" x="2"/>
        <item x="1"/>
        <item h="1" x="3"/>
        <item x="0"/>
        <item h="1" x="4"/>
        <item t="default"/>
      </items>
    </pivotField>
    <pivotField showAll="0"/>
    <pivotField showAll="0"/>
    <pivotField showAll="0"/>
    <pivotField axis="axisCol" showAll="0">
      <items count="5">
        <item x="1"/>
        <item x="2"/>
        <item x="0"/>
        <item x="3"/>
        <item t="default"/>
      </items>
    </pivotField>
    <pivotField axis="axisPage" multipleItemSelectionAllowed="1" showAll="0">
      <items count="7">
        <item h="1" x="2"/>
        <item h="1" x="1"/>
        <item x="4"/>
        <item h="1" x="0"/>
        <item x="5"/>
        <item h="1"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9">
    <i>
      <x v="7"/>
    </i>
    <i>
      <x v="9"/>
    </i>
    <i>
      <x v="13"/>
    </i>
    <i>
      <x v="18"/>
    </i>
    <i>
      <x v="34"/>
    </i>
    <i>
      <x v="37"/>
    </i>
    <i>
      <x v="41"/>
    </i>
    <i>
      <x v="50"/>
    </i>
    <i>
      <x v="55"/>
    </i>
    <i>
      <x v="56"/>
    </i>
    <i>
      <x v="58"/>
    </i>
    <i>
      <x v="59"/>
    </i>
    <i>
      <x v="61"/>
    </i>
    <i>
      <x v="63"/>
    </i>
    <i>
      <x v="66"/>
    </i>
    <i>
      <x v="67"/>
    </i>
    <i>
      <x v="94"/>
    </i>
    <i>
      <x v="98"/>
    </i>
    <i t="grand">
      <x/>
    </i>
  </rowItems>
  <colFields count="1">
    <field x="7"/>
  </colFields>
  <colItems count="5">
    <i>
      <x/>
    </i>
    <i>
      <x v="1"/>
    </i>
    <i>
      <x v="2"/>
    </i>
    <i>
      <x v="3"/>
    </i>
    <i t="grand">
      <x/>
    </i>
  </colItems>
  <pageFields count="2">
    <pageField fld="8" hier="-1"/>
    <pageField fld="3" hier="-1"/>
  </pageFields>
  <dataFields count="1">
    <dataField name="Count of Accident ID" fld="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s>
  <pivotTableStyleInfo name="PivotStyleLight21"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use" xr10:uid="{3BE60E00-5D75-4714-99A8-3E9C7B999C1E}" sourceName="Cause">
  <pivotTables>
    <pivotTable tabId="8" name="Pivot Table of ACCident Analysis"/>
  </pivotTables>
  <data>
    <tabular pivotCacheId="699816957">
      <items count="6">
        <i x="2"/>
        <i x="1"/>
        <i x="4" s="1"/>
        <i x="0"/>
        <i x="5"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use" xr10:uid="{950EDE66-65B4-4AF9-AF24-7A01467BA51B}" cache="Slicer_Cause" caption="Caus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F7E9BC-9699-4DE9-A3CD-E2EE738C699A}" name="Table2" displayName="Table2" ref="A161:J261" totalsRowShown="0" headerRowDxfId="55" dataDxfId="53" headerRowBorderDxfId="54" tableBorderDxfId="52" totalsRowBorderDxfId="51">
  <autoFilter ref="A161:J261" xr:uid="{02F7E9BC-9699-4DE9-A3CD-E2EE738C699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B384A0E-3A12-4C59-80BE-65375F7CBF32}" name="Accident ID" dataDxfId="50"/>
    <tableColumn id="2" xr3:uid="{7AE8F294-E7C6-47BD-9214-5D39332A277E}" name="Date" dataDxfId="49"/>
    <tableColumn id="3" xr3:uid="{45BBC318-385D-4649-AA69-21C2C2A02A58}" name="Location" dataDxfId="48"/>
    <tableColumn id="4" xr3:uid="{41A1CB9B-5848-4903-9C30-F8507CE29ED6}" name="Accident Type" dataDxfId="47"/>
    <tableColumn id="5" xr3:uid="{4C534B14-DC51-4E34-9AE1-3397210B8DAB}" name="Vehicle Type" dataDxfId="46"/>
    <tableColumn id="6" xr3:uid="{B965E380-B84F-4B5E-A4E5-5C973AD1AEA8}" name="Weather Condition" dataDxfId="45"/>
    <tableColumn id="7" xr3:uid="{40534D8D-53A6-4D6D-995B-A31C11BE7A75}" name="Road Condition" dataDxfId="44"/>
    <tableColumn id="8" xr3:uid="{F9AE6F22-E9FF-4CEB-B66D-C58ACD11B63F}" name="Severity" dataDxfId="43"/>
    <tableColumn id="9" xr3:uid="{2C0D078F-CF77-40E5-9E2D-517CFF3F8BBC}" name="Cause" dataDxfId="42"/>
    <tableColumn id="10" xr3:uid="{2318A9DD-FABA-4093-AA0C-D71E212FB0DA}" name="Casualties" dataDxfId="4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46AD2D-8716-47D7-913A-A539B3690782}" name="Table4" displayName="Table4" ref="A267:C277" totalsRowShown="0">
  <autoFilter ref="A267:C277" xr:uid="{BF46AD2D-8716-47D7-913A-A539B3690782}"/>
  <tableColumns count="3">
    <tableColumn id="1" xr3:uid="{DDF749A0-2052-472D-BDDA-50A55D104E19}" name="S.No"/>
    <tableColumn id="2" xr3:uid="{1C5D3993-5308-4BD7-9316-AD753BB94044}" name="PRODUCT NAME"/>
    <tableColumn id="3" xr3:uid="{CF11C2B9-9092-45F7-9928-14E3DA7E2A07}" name="STOCK LEVEL"/>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915960-3B4A-4844-8EFA-2B79647B1999}" name="Table1" displayName="Table1" ref="A284:L333" totalsRowShown="0" headerRowDxfId="40" dataDxfId="38" headerRowBorderDxfId="39" tableBorderDxfId="37" totalsRowBorderDxfId="36">
  <autoFilter ref="A284:L333" xr:uid="{89915960-3B4A-4844-8EFA-2B79647B199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BC7A0865-38C1-4030-B0F2-D6D31419DD74}" name="Order ID" dataDxfId="35"/>
    <tableColumn id="2" xr3:uid="{CFE07B67-9500-4B41-B63A-8D7F63E5F754}" name="Date" dataDxfId="34"/>
    <tableColumn id="3" xr3:uid="{1C866979-8F38-4270-A687-D223BF9F8F03}" name="Customer Name" dataDxfId="33"/>
    <tableColumn id="4" xr3:uid="{60AB380B-F598-4540-919B-D938E3635F95}" name="Region" dataDxfId="32"/>
    <tableColumn id="5" xr3:uid="{64048F0B-0E26-4883-9EE3-6FD8EFFA771C}" name="Product Category" dataDxfId="31"/>
    <tableColumn id="6" xr3:uid="{C09A419D-CECD-4A63-AB5C-7D7121E6CC4F}" name="Product Name" dataDxfId="30"/>
    <tableColumn id="7" xr3:uid="{EB986F55-ABEB-40ED-BB25-3023E03E690C}" name="Quantity" dataDxfId="29"/>
    <tableColumn id="8" xr3:uid="{63BFCC8D-EE2F-4930-A8A4-C6BFEFEA5737}" name="Unit Price (?)" dataDxfId="28"/>
    <tableColumn id="9" xr3:uid="{C899D494-97CF-4BED-92A8-A7C97AE6EE57}" name="Total Sales (?)" dataDxfId="27"/>
    <tableColumn id="10" xr3:uid="{A0D78A1B-46DA-439D-96FB-19E3D0A3E96E}" name="Profit Margin (%)" dataDxfId="26"/>
    <tableColumn id="11" xr3:uid="{375F50D7-B368-4ADE-96BE-5124E97C5ABD}" name="Customer Age" dataDxfId="25"/>
    <tableColumn id="12" xr3:uid="{0EAB0FDE-2645-4CC7-AB63-0FB1AB180B63}" name="Payment Mode" dataDxfId="24"/>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3E07DA-9F09-4D0F-929D-475E84548E36}" name="Table3" displayName="Table3" ref="A351:N451" totalsRowShown="0" headerRowDxfId="23" dataDxfId="22" tableBorderDxfId="21">
  <autoFilter ref="A351:N451" xr:uid="{2A3E07DA-9F09-4D0F-929D-475E84548E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FDD6ED0D-1769-4186-91E3-5AD9D13B8AB9}" name="Customer ID" dataDxfId="20"/>
    <tableColumn id="2" xr3:uid="{D9AAF1BB-D002-4628-8C90-48A87BC7AB69}" name="Region" dataDxfId="19"/>
    <tableColumn id="3" xr3:uid="{AA47680E-093B-4070-8B39-F99CB8C6892F}" name="Country" dataDxfId="18"/>
    <tableColumn id="4" xr3:uid="{9B79887F-784A-40B7-8081-C8A5293676D2}" name="State" dataDxfId="17"/>
    <tableColumn id="5" xr3:uid="{C888225F-DF83-42C0-B769-034DC52526CE}" name="Phone Number" dataDxfId="16"/>
    <tableColumn id="6" xr3:uid="{C05F8806-1750-4458-827A-ED162B3EC1A3}" name="Category" dataDxfId="15"/>
    <tableColumn id="7" xr3:uid="{74352E3A-31AE-414D-B174-A618CE0303AA}" name="Product" dataDxfId="14"/>
    <tableColumn id="8" xr3:uid="{5E3CE1E5-4F01-4F62-9113-F4117EC37551}" name="Price" dataDxfId="13"/>
    <tableColumn id="9" xr3:uid="{E0978B22-DAA9-479E-933D-4DDDD0F62C15}" name="Units Sold" dataDxfId="12"/>
    <tableColumn id="10" xr3:uid="{799C2F71-C05D-4D59-9C7B-4B9F70617E7E}" name="Profit" dataDxfId="11"/>
    <tableColumn id="11" xr3:uid="{07A6CAAB-ABC4-41A3-A179-C6E0BE52E433}" name="Mode of Payment" dataDxfId="10"/>
    <tableColumn id="12" xr3:uid="{36B05A3C-DB9A-476A-9A1F-6F5283D27E96}" name="Revenue" dataDxfId="9"/>
    <tableColumn id="13" xr3:uid="{FA3D356F-573D-44F3-B079-499985CFA7AE}" name="Revenue Label" dataDxfId="8"/>
    <tableColumn id="14" xr3:uid="{27DBC88B-7403-4117-87BD-207E922C078F}" name="Profit %" dataDxfId="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797A-104E-40F6-9316-D2BE1D3103B3}">
  <dimension ref="A3:C8"/>
  <sheetViews>
    <sheetView workbookViewId="0">
      <selection activeCell="A11" sqref="A11"/>
    </sheetView>
  </sheetViews>
  <sheetFormatPr defaultRowHeight="14.4" x14ac:dyDescent="0.3"/>
  <cols>
    <col min="1" max="1" width="12.5546875" bestFit="1" customWidth="1"/>
    <col min="2" max="2" width="12.109375" bestFit="1" customWidth="1"/>
    <col min="3" max="3" width="14.88671875" bestFit="1" customWidth="1"/>
  </cols>
  <sheetData>
    <row r="3" spans="1:3" x14ac:dyDescent="0.3">
      <c r="A3" s="5" t="s">
        <v>304</v>
      </c>
      <c r="B3" t="s">
        <v>601</v>
      </c>
      <c r="C3" t="s">
        <v>602</v>
      </c>
    </row>
    <row r="4" spans="1:3" x14ac:dyDescent="0.3">
      <c r="A4" s="6" t="s">
        <v>496</v>
      </c>
      <c r="B4" s="33">
        <v>65576.37000000001</v>
      </c>
      <c r="C4" s="33">
        <v>304204.76999999996</v>
      </c>
    </row>
    <row r="5" spans="1:3" x14ac:dyDescent="0.3">
      <c r="A5" s="6" t="s">
        <v>508</v>
      </c>
      <c r="B5" s="33">
        <v>53496.26</v>
      </c>
      <c r="C5" s="33">
        <v>290473.09000000003</v>
      </c>
    </row>
    <row r="6" spans="1:3" x14ac:dyDescent="0.3">
      <c r="A6" s="6" t="s">
        <v>485</v>
      </c>
      <c r="B6" s="33">
        <v>52548.770000000004</v>
      </c>
      <c r="C6" s="33">
        <v>278867.12999999995</v>
      </c>
    </row>
    <row r="7" spans="1:3" x14ac:dyDescent="0.3">
      <c r="A7" s="6" t="s">
        <v>474</v>
      </c>
      <c r="B7" s="33">
        <v>53733.26999999999</v>
      </c>
      <c r="C7" s="33">
        <v>263623.37000000005</v>
      </c>
    </row>
    <row r="8" spans="1:3" x14ac:dyDescent="0.3">
      <c r="A8" s="6" t="s">
        <v>305</v>
      </c>
      <c r="B8" s="33">
        <v>225354.67</v>
      </c>
      <c r="C8" s="33">
        <v>1137168.3600000001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709C-249A-4B66-898B-D130C6D2484D}">
  <dimension ref="A3:B7"/>
  <sheetViews>
    <sheetView workbookViewId="0">
      <selection activeCell="E19" sqref="E19"/>
    </sheetView>
  </sheetViews>
  <sheetFormatPr defaultRowHeight="14.4" x14ac:dyDescent="0.3"/>
  <cols>
    <col min="1" max="1" width="12.5546875" bestFit="1" customWidth="1"/>
    <col min="2" max="2" width="19.21875" bestFit="1" customWidth="1"/>
  </cols>
  <sheetData>
    <row r="3" spans="1:2" x14ac:dyDescent="0.3">
      <c r="A3" s="5" t="s">
        <v>304</v>
      </c>
      <c r="B3" t="s">
        <v>603</v>
      </c>
    </row>
    <row r="4" spans="1:2" x14ac:dyDescent="0.3">
      <c r="A4" s="6" t="s">
        <v>477</v>
      </c>
      <c r="B4" s="33">
        <v>7.2249999999999996</v>
      </c>
    </row>
    <row r="5" spans="1:2" x14ac:dyDescent="0.3">
      <c r="A5" s="6" t="s">
        <v>342</v>
      </c>
      <c r="B5" s="33">
        <v>8.115384615384615</v>
      </c>
    </row>
    <row r="6" spans="1:2" x14ac:dyDescent="0.3">
      <c r="A6" s="6" t="s">
        <v>481</v>
      </c>
      <c r="B6" s="33">
        <v>7.7647058823529411</v>
      </c>
    </row>
    <row r="7" spans="1:2" x14ac:dyDescent="0.3">
      <c r="A7" s="6" t="s">
        <v>305</v>
      </c>
      <c r="B7" s="33">
        <v>7.64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A13A5-8D4A-496B-A881-6424090EFCED}">
  <sheetPr codeName="Sheet1"/>
  <dimension ref="A1:JH1283"/>
  <sheetViews>
    <sheetView tabSelected="1" topLeftCell="A338" workbookViewId="0">
      <selection activeCell="N453" sqref="N453"/>
    </sheetView>
  </sheetViews>
  <sheetFormatPr defaultRowHeight="14.4" x14ac:dyDescent="0.3"/>
  <cols>
    <col min="1" max="1" width="13.21875" customWidth="1"/>
    <col min="2" max="2" width="16.88671875" customWidth="1"/>
    <col min="3" max="3" width="16.44140625" customWidth="1"/>
    <col min="4" max="4" width="15.21875" customWidth="1"/>
    <col min="5" max="5" width="17.5546875" customWidth="1"/>
    <col min="6" max="6" width="18.21875" customWidth="1"/>
    <col min="7" max="7" width="11.88671875" customWidth="1"/>
    <col min="8" max="8" width="13.6640625" customWidth="1"/>
    <col min="9" max="9" width="14.44140625" customWidth="1"/>
    <col min="10" max="10" width="17.21875" customWidth="1"/>
    <col min="11" max="11" width="18.109375" customWidth="1"/>
    <col min="12" max="12" width="15.88671875" customWidth="1"/>
    <col min="13" max="13" width="15.109375" customWidth="1"/>
    <col min="14" max="14" width="9.44140625" customWidth="1"/>
  </cols>
  <sheetData>
    <row r="1" spans="1:1" x14ac:dyDescent="0.3">
      <c r="A1" t="s">
        <v>51</v>
      </c>
    </row>
    <row r="3" spans="1:1" x14ac:dyDescent="0.3">
      <c r="A3" t="s">
        <v>19</v>
      </c>
    </row>
    <row r="4" spans="1:1" x14ac:dyDescent="0.3">
      <c r="A4" t="s">
        <v>0</v>
      </c>
    </row>
    <row r="5" spans="1:1" x14ac:dyDescent="0.3">
      <c r="A5" t="s">
        <v>1</v>
      </c>
    </row>
    <row r="6" spans="1:1" x14ac:dyDescent="0.3">
      <c r="A6" t="s">
        <v>2</v>
      </c>
    </row>
    <row r="7" spans="1:1" x14ac:dyDescent="0.3">
      <c r="A7" t="s">
        <v>3</v>
      </c>
    </row>
    <row r="8" spans="1:1" x14ac:dyDescent="0.3">
      <c r="A8" t="s">
        <v>4</v>
      </c>
    </row>
    <row r="9" spans="1:1" x14ac:dyDescent="0.3">
      <c r="A9" t="s">
        <v>5</v>
      </c>
    </row>
    <row r="10" spans="1:1" x14ac:dyDescent="0.3">
      <c r="A10" t="s">
        <v>6</v>
      </c>
    </row>
    <row r="11" spans="1:1" x14ac:dyDescent="0.3">
      <c r="A11" t="s">
        <v>7</v>
      </c>
    </row>
    <row r="12" spans="1:1" x14ac:dyDescent="0.3">
      <c r="A12" t="s">
        <v>8</v>
      </c>
    </row>
    <row r="13" spans="1:1" x14ac:dyDescent="0.3">
      <c r="A13" t="s">
        <v>9</v>
      </c>
    </row>
    <row r="14" spans="1:1" x14ac:dyDescent="0.3">
      <c r="A14" t="s">
        <v>10</v>
      </c>
    </row>
    <row r="15" spans="1:1" x14ac:dyDescent="0.3">
      <c r="A15" t="s">
        <v>11</v>
      </c>
    </row>
    <row r="16" spans="1:1" x14ac:dyDescent="0.3">
      <c r="A16" t="s">
        <v>12</v>
      </c>
    </row>
    <row r="17" spans="1:1" x14ac:dyDescent="0.3">
      <c r="A17" t="s">
        <v>13</v>
      </c>
    </row>
    <row r="18" spans="1:1" x14ac:dyDescent="0.3">
      <c r="A18" t="s">
        <v>14</v>
      </c>
    </row>
    <row r="19" spans="1:1" x14ac:dyDescent="0.3">
      <c r="A19" t="s">
        <v>15</v>
      </c>
    </row>
    <row r="20" spans="1:1" x14ac:dyDescent="0.3">
      <c r="A20" t="s">
        <v>16</v>
      </c>
    </row>
    <row r="21" spans="1:1" x14ac:dyDescent="0.3">
      <c r="A21" t="s">
        <v>17</v>
      </c>
    </row>
    <row r="22" spans="1:1" x14ac:dyDescent="0.3">
      <c r="A22" t="s">
        <v>18</v>
      </c>
    </row>
    <row r="24" spans="1:1" x14ac:dyDescent="0.3">
      <c r="A24" t="s">
        <v>20</v>
      </c>
    </row>
    <row r="25" spans="1:1" x14ac:dyDescent="0.3">
      <c r="A25" t="s">
        <v>21</v>
      </c>
    </row>
    <row r="26" spans="1:1" x14ac:dyDescent="0.3">
      <c r="A26" t="s">
        <v>22</v>
      </c>
    </row>
    <row r="27" spans="1:1" x14ac:dyDescent="0.3">
      <c r="A27" t="s">
        <v>23</v>
      </c>
    </row>
    <row r="28" spans="1:1" x14ac:dyDescent="0.3">
      <c r="A28" t="s">
        <v>24</v>
      </c>
    </row>
    <row r="29" spans="1:1" x14ac:dyDescent="0.3">
      <c r="A29" t="s">
        <v>25</v>
      </c>
    </row>
    <row r="30" spans="1:1" x14ac:dyDescent="0.3">
      <c r="A30" t="s">
        <v>26</v>
      </c>
    </row>
    <row r="31" spans="1:1" x14ac:dyDescent="0.3">
      <c r="A31" t="s">
        <v>27</v>
      </c>
    </row>
    <row r="32" spans="1:1" x14ac:dyDescent="0.3">
      <c r="A32" t="s">
        <v>28</v>
      </c>
    </row>
    <row r="33" spans="1:1" x14ac:dyDescent="0.3">
      <c r="A33" t="s">
        <v>29</v>
      </c>
    </row>
    <row r="34" spans="1:1" x14ac:dyDescent="0.3">
      <c r="A34" t="s">
        <v>30</v>
      </c>
    </row>
    <row r="35" spans="1:1" x14ac:dyDescent="0.3">
      <c r="A35" t="s">
        <v>31</v>
      </c>
    </row>
    <row r="36" spans="1:1" x14ac:dyDescent="0.3">
      <c r="A36" t="s">
        <v>32</v>
      </c>
    </row>
    <row r="37" spans="1:1" x14ac:dyDescent="0.3">
      <c r="A37" t="s">
        <v>33</v>
      </c>
    </row>
    <row r="38" spans="1:1" x14ac:dyDescent="0.3">
      <c r="A38" t="s">
        <v>34</v>
      </c>
    </row>
    <row r="39" spans="1:1" x14ac:dyDescent="0.3">
      <c r="A39" t="s">
        <v>35</v>
      </c>
    </row>
    <row r="40" spans="1:1" x14ac:dyDescent="0.3">
      <c r="A40" t="s">
        <v>36</v>
      </c>
    </row>
    <row r="41" spans="1:1" x14ac:dyDescent="0.3">
      <c r="A41" t="s">
        <v>37</v>
      </c>
    </row>
    <row r="42" spans="1:1" x14ac:dyDescent="0.3">
      <c r="A42" t="s">
        <v>38</v>
      </c>
    </row>
    <row r="43" spans="1:1" x14ac:dyDescent="0.3">
      <c r="A43" t="s">
        <v>39</v>
      </c>
    </row>
    <row r="44" spans="1:1" x14ac:dyDescent="0.3">
      <c r="A44" t="s">
        <v>40</v>
      </c>
    </row>
    <row r="45" spans="1:1" x14ac:dyDescent="0.3">
      <c r="A45" t="s">
        <v>41</v>
      </c>
    </row>
    <row r="46" spans="1:1" x14ac:dyDescent="0.3">
      <c r="A46" t="s">
        <v>42</v>
      </c>
    </row>
    <row r="47" spans="1:1" x14ac:dyDescent="0.3">
      <c r="A47" t="s">
        <v>43</v>
      </c>
    </row>
    <row r="48" spans="1:1" x14ac:dyDescent="0.3">
      <c r="A48" t="s">
        <v>44</v>
      </c>
    </row>
    <row r="49" spans="1:1" x14ac:dyDescent="0.3">
      <c r="A49" t="s">
        <v>45</v>
      </c>
    </row>
    <row r="50" spans="1:1" x14ac:dyDescent="0.3">
      <c r="A50" t="s">
        <v>46</v>
      </c>
    </row>
    <row r="51" spans="1:1" x14ac:dyDescent="0.3">
      <c r="A51" t="s">
        <v>47</v>
      </c>
    </row>
    <row r="52" spans="1:1" x14ac:dyDescent="0.3">
      <c r="A52" t="s">
        <v>48</v>
      </c>
    </row>
    <row r="53" spans="1:1" x14ac:dyDescent="0.3">
      <c r="A53" t="s">
        <v>49</v>
      </c>
    </row>
    <row r="54" spans="1:1" x14ac:dyDescent="0.3">
      <c r="A54" t="s">
        <v>50</v>
      </c>
    </row>
    <row r="56" spans="1:1" x14ac:dyDescent="0.3">
      <c r="A56" t="s">
        <v>52</v>
      </c>
    </row>
    <row r="57" spans="1:1" x14ac:dyDescent="0.3">
      <c r="A57" t="s">
        <v>53</v>
      </c>
    </row>
    <row r="58" spans="1:1" x14ac:dyDescent="0.3">
      <c r="A58" t="s">
        <v>54</v>
      </c>
    </row>
    <row r="59" spans="1:1" x14ac:dyDescent="0.3">
      <c r="A59" t="s">
        <v>55</v>
      </c>
    </row>
    <row r="60" spans="1:1" x14ac:dyDescent="0.3">
      <c r="A60" t="s">
        <v>56</v>
      </c>
    </row>
    <row r="61" spans="1:1" x14ac:dyDescent="0.3">
      <c r="A61" t="s">
        <v>57</v>
      </c>
    </row>
    <row r="62" spans="1:1" x14ac:dyDescent="0.3">
      <c r="A62" t="s">
        <v>58</v>
      </c>
    </row>
    <row r="63" spans="1:1" x14ac:dyDescent="0.3">
      <c r="A63" t="s">
        <v>59</v>
      </c>
    </row>
    <row r="64" spans="1:1" x14ac:dyDescent="0.3">
      <c r="A64" t="s">
        <v>60</v>
      </c>
    </row>
    <row r="65" spans="1:1" x14ac:dyDescent="0.3">
      <c r="A65" t="s">
        <v>61</v>
      </c>
    </row>
    <row r="66" spans="1:1" x14ac:dyDescent="0.3">
      <c r="A66" t="s">
        <v>62</v>
      </c>
    </row>
    <row r="67" spans="1:1" x14ac:dyDescent="0.3">
      <c r="A67" t="s">
        <v>63</v>
      </c>
    </row>
    <row r="68" spans="1:1" x14ac:dyDescent="0.3">
      <c r="A68" t="s">
        <v>64</v>
      </c>
    </row>
    <row r="69" spans="1:1" x14ac:dyDescent="0.3">
      <c r="A69" t="s">
        <v>65</v>
      </c>
    </row>
    <row r="70" spans="1:1" x14ac:dyDescent="0.3">
      <c r="A70" t="s">
        <v>66</v>
      </c>
    </row>
    <row r="71" spans="1:1" x14ac:dyDescent="0.3">
      <c r="A71" t="s">
        <v>67</v>
      </c>
    </row>
    <row r="72" spans="1:1" x14ac:dyDescent="0.3">
      <c r="A72" t="s">
        <v>68</v>
      </c>
    </row>
    <row r="73" spans="1:1" x14ac:dyDescent="0.3">
      <c r="A73" t="s">
        <v>69</v>
      </c>
    </row>
    <row r="74" spans="1:1" x14ac:dyDescent="0.3">
      <c r="A74" t="s">
        <v>70</v>
      </c>
    </row>
    <row r="75" spans="1:1" x14ac:dyDescent="0.3">
      <c r="A75" t="s">
        <v>71</v>
      </c>
    </row>
    <row r="76" spans="1:1" x14ac:dyDescent="0.3">
      <c r="A76" t="s">
        <v>72</v>
      </c>
    </row>
    <row r="77" spans="1:1" x14ac:dyDescent="0.3">
      <c r="A77" t="s">
        <v>73</v>
      </c>
    </row>
    <row r="78" spans="1:1" x14ac:dyDescent="0.3">
      <c r="A78" t="s">
        <v>74</v>
      </c>
    </row>
    <row r="79" spans="1:1" x14ac:dyDescent="0.3">
      <c r="A79" t="s">
        <v>75</v>
      </c>
    </row>
    <row r="80" spans="1:1" x14ac:dyDescent="0.3">
      <c r="A80" t="s">
        <v>76</v>
      </c>
    </row>
    <row r="81" spans="1:1" x14ac:dyDescent="0.3">
      <c r="A81" t="s">
        <v>77</v>
      </c>
    </row>
    <row r="82" spans="1:1" x14ac:dyDescent="0.3">
      <c r="A82" t="s">
        <v>78</v>
      </c>
    </row>
    <row r="83" spans="1:1" x14ac:dyDescent="0.3">
      <c r="A83" t="s">
        <v>79</v>
      </c>
    </row>
    <row r="84" spans="1:1" x14ac:dyDescent="0.3">
      <c r="A84" t="s">
        <v>80</v>
      </c>
    </row>
    <row r="85" spans="1:1" x14ac:dyDescent="0.3">
      <c r="A85" t="s">
        <v>81</v>
      </c>
    </row>
    <row r="86" spans="1:1" x14ac:dyDescent="0.3">
      <c r="A86" t="s">
        <v>82</v>
      </c>
    </row>
    <row r="87" spans="1:1" x14ac:dyDescent="0.3">
      <c r="A87" t="s">
        <v>83</v>
      </c>
    </row>
    <row r="88" spans="1:1" x14ac:dyDescent="0.3">
      <c r="A88" t="s">
        <v>84</v>
      </c>
    </row>
    <row r="90" spans="1:1" x14ac:dyDescent="0.3">
      <c r="A90" t="s">
        <v>85</v>
      </c>
    </row>
    <row r="91" spans="1:1" x14ac:dyDescent="0.3">
      <c r="A91" t="s">
        <v>86</v>
      </c>
    </row>
    <row r="92" spans="1:1" x14ac:dyDescent="0.3">
      <c r="A92" t="s">
        <v>87</v>
      </c>
    </row>
    <row r="93" spans="1:1" x14ac:dyDescent="0.3">
      <c r="A93" t="s">
        <v>88</v>
      </c>
    </row>
    <row r="94" spans="1:1" x14ac:dyDescent="0.3">
      <c r="A94" t="s">
        <v>89</v>
      </c>
    </row>
    <row r="95" spans="1:1" x14ac:dyDescent="0.3">
      <c r="A95" t="s">
        <v>90</v>
      </c>
    </row>
    <row r="96" spans="1:1" x14ac:dyDescent="0.3">
      <c r="A96" t="s">
        <v>91</v>
      </c>
    </row>
    <row r="97" spans="1:1" x14ac:dyDescent="0.3">
      <c r="A97" t="s">
        <v>92</v>
      </c>
    </row>
    <row r="98" spans="1:1" x14ac:dyDescent="0.3">
      <c r="A98" t="s">
        <v>93</v>
      </c>
    </row>
    <row r="99" spans="1:1" x14ac:dyDescent="0.3">
      <c r="A99" t="s">
        <v>94</v>
      </c>
    </row>
    <row r="100" spans="1:1" x14ac:dyDescent="0.3">
      <c r="A100" t="s">
        <v>95</v>
      </c>
    </row>
    <row r="101" spans="1:1" x14ac:dyDescent="0.3">
      <c r="A101" t="s">
        <v>96</v>
      </c>
    </row>
    <row r="102" spans="1:1" x14ac:dyDescent="0.3">
      <c r="A102" t="s">
        <v>97</v>
      </c>
    </row>
    <row r="103" spans="1:1" x14ac:dyDescent="0.3">
      <c r="A103" t="s">
        <v>98</v>
      </c>
    </row>
    <row r="104" spans="1:1" x14ac:dyDescent="0.3">
      <c r="A104" t="s">
        <v>99</v>
      </c>
    </row>
    <row r="105" spans="1:1" x14ac:dyDescent="0.3">
      <c r="A105" t="s">
        <v>100</v>
      </c>
    </row>
    <row r="106" spans="1:1" x14ac:dyDescent="0.3">
      <c r="A106" t="s">
        <v>101</v>
      </c>
    </row>
    <row r="107" spans="1:1" x14ac:dyDescent="0.3">
      <c r="A107" t="s">
        <v>102</v>
      </c>
    </row>
    <row r="108" spans="1:1" x14ac:dyDescent="0.3">
      <c r="A108" t="s">
        <v>103</v>
      </c>
    </row>
    <row r="109" spans="1:1" x14ac:dyDescent="0.3">
      <c r="A109" t="s">
        <v>104</v>
      </c>
    </row>
    <row r="110" spans="1:1" x14ac:dyDescent="0.3">
      <c r="A110" t="s">
        <v>105</v>
      </c>
    </row>
    <row r="111" spans="1:1" x14ac:dyDescent="0.3">
      <c r="A111" t="s">
        <v>106</v>
      </c>
    </row>
    <row r="112" spans="1:1" x14ac:dyDescent="0.3">
      <c r="A112" t="s">
        <v>107</v>
      </c>
    </row>
    <row r="113" spans="1:1" x14ac:dyDescent="0.3">
      <c r="A113" t="s">
        <v>108</v>
      </c>
    </row>
    <row r="114" spans="1:1" x14ac:dyDescent="0.3">
      <c r="A114" t="s">
        <v>109</v>
      </c>
    </row>
    <row r="115" spans="1:1" x14ac:dyDescent="0.3">
      <c r="A115" t="s">
        <v>110</v>
      </c>
    </row>
    <row r="117" spans="1:1" x14ac:dyDescent="0.3">
      <c r="A117" t="s">
        <v>111</v>
      </c>
    </row>
    <row r="118" spans="1:1" x14ac:dyDescent="0.3">
      <c r="A118" t="s">
        <v>112</v>
      </c>
    </row>
    <row r="119" spans="1:1" x14ac:dyDescent="0.3">
      <c r="A119" t="s">
        <v>113</v>
      </c>
    </row>
    <row r="120" spans="1:1" x14ac:dyDescent="0.3">
      <c r="A120" t="s">
        <v>114</v>
      </c>
    </row>
    <row r="121" spans="1:1" x14ac:dyDescent="0.3">
      <c r="A121" t="s">
        <v>115</v>
      </c>
    </row>
    <row r="122" spans="1:1" x14ac:dyDescent="0.3">
      <c r="A122" t="s">
        <v>116</v>
      </c>
    </row>
    <row r="123" spans="1:1" x14ac:dyDescent="0.3">
      <c r="A123" t="s">
        <v>117</v>
      </c>
    </row>
    <row r="124" spans="1:1" x14ac:dyDescent="0.3">
      <c r="A124" t="s">
        <v>118</v>
      </c>
    </row>
    <row r="125" spans="1:1" x14ac:dyDescent="0.3">
      <c r="A125" t="s">
        <v>119</v>
      </c>
    </row>
    <row r="126" spans="1:1" x14ac:dyDescent="0.3">
      <c r="A126" t="s">
        <v>120</v>
      </c>
    </row>
    <row r="127" spans="1:1" x14ac:dyDescent="0.3">
      <c r="A127" t="s">
        <v>115</v>
      </c>
    </row>
    <row r="128" spans="1:1" x14ac:dyDescent="0.3">
      <c r="A128" t="s">
        <v>121</v>
      </c>
    </row>
    <row r="129" spans="1:1" x14ac:dyDescent="0.3">
      <c r="A129" t="s">
        <v>122</v>
      </c>
    </row>
    <row r="130" spans="1:1" x14ac:dyDescent="0.3">
      <c r="A130" t="s">
        <v>123</v>
      </c>
    </row>
    <row r="131" spans="1:1" x14ac:dyDescent="0.3">
      <c r="A131" t="s">
        <v>124</v>
      </c>
    </row>
    <row r="132" spans="1:1" x14ac:dyDescent="0.3">
      <c r="A132" t="s">
        <v>125</v>
      </c>
    </row>
    <row r="133" spans="1:1" x14ac:dyDescent="0.3">
      <c r="A133" t="s">
        <v>126</v>
      </c>
    </row>
    <row r="134" spans="1:1" x14ac:dyDescent="0.3">
      <c r="A134" t="s">
        <v>127</v>
      </c>
    </row>
    <row r="135" spans="1:1" x14ac:dyDescent="0.3">
      <c r="A135" t="s">
        <v>128</v>
      </c>
    </row>
    <row r="136" spans="1:1" x14ac:dyDescent="0.3">
      <c r="A136" t="s">
        <v>129</v>
      </c>
    </row>
    <row r="137" spans="1:1" x14ac:dyDescent="0.3">
      <c r="A137" t="s">
        <v>130</v>
      </c>
    </row>
    <row r="138" spans="1:1" x14ac:dyDescent="0.3">
      <c r="A138" t="s">
        <v>131</v>
      </c>
    </row>
    <row r="139" spans="1:1" x14ac:dyDescent="0.3">
      <c r="A139" t="s">
        <v>132</v>
      </c>
    </row>
    <row r="140" spans="1:1" x14ac:dyDescent="0.3">
      <c r="A140" t="s">
        <v>133</v>
      </c>
    </row>
    <row r="141" spans="1:1" x14ac:dyDescent="0.3">
      <c r="A141" t="s">
        <v>134</v>
      </c>
    </row>
    <row r="142" spans="1:1" x14ac:dyDescent="0.3">
      <c r="A142" t="s">
        <v>135</v>
      </c>
    </row>
    <row r="143" spans="1:1" x14ac:dyDescent="0.3">
      <c r="A143" t="s">
        <v>136</v>
      </c>
    </row>
    <row r="144" spans="1:1" x14ac:dyDescent="0.3">
      <c r="A144" t="s">
        <v>137</v>
      </c>
    </row>
    <row r="146" spans="1:6" x14ac:dyDescent="0.3">
      <c r="A146" t="s">
        <v>138</v>
      </c>
    </row>
    <row r="147" spans="1:6" x14ac:dyDescent="0.3">
      <c r="A147" t="s">
        <v>139</v>
      </c>
    </row>
    <row r="148" spans="1:6" x14ac:dyDescent="0.3">
      <c r="A148" s="1" t="s">
        <v>140</v>
      </c>
      <c r="B148" s="1" t="s">
        <v>141</v>
      </c>
      <c r="C148" s="1" t="s">
        <v>142</v>
      </c>
      <c r="D148" s="1" t="s">
        <v>143</v>
      </c>
      <c r="E148" s="1" t="s">
        <v>144</v>
      </c>
      <c r="F148" s="1" t="s">
        <v>153</v>
      </c>
    </row>
    <row r="149" spans="1:6" x14ac:dyDescent="0.3">
      <c r="A149">
        <v>1</v>
      </c>
      <c r="B149" t="s">
        <v>145</v>
      </c>
      <c r="C149" s="2">
        <v>44586</v>
      </c>
      <c r="D149">
        <f ca="1">DATEDIF(C149,TODAY(),"Y")</f>
        <v>3</v>
      </c>
      <c r="E149">
        <f ca="1">DATEDIF(C149,TODAY(),"M")</f>
        <v>47</v>
      </c>
      <c r="F149" t="str">
        <f ca="1">DATEDIF(C149,TODAY(), "Y") &amp; " Years " &amp;
DATEDIF(C149, TODAY(), "YM") &amp; " Months"</f>
        <v>3 Years 11 Months</v>
      </c>
    </row>
    <row r="150" spans="1:6" x14ac:dyDescent="0.3">
      <c r="A150">
        <v>2</v>
      </c>
      <c r="B150" t="s">
        <v>146</v>
      </c>
      <c r="C150" s="2">
        <v>43713</v>
      </c>
      <c r="D150">
        <f ca="1">DATEDIF(C150,TODAY(),"Y")</f>
        <v>6</v>
      </c>
      <c r="E150">
        <f ca="1">DATEDIF(C150,TODAY(),"M")</f>
        <v>75</v>
      </c>
      <c r="F150" t="str">
        <f t="shared" ref="F150:F156" ca="1" si="0">DATEDIF(C150,TODAY(), "Y") &amp; " Years " &amp;
DATEDIF(C150, TODAY(), "YM") &amp; " Months"</f>
        <v>6 Years 3 Months</v>
      </c>
    </row>
    <row r="151" spans="1:6" x14ac:dyDescent="0.3">
      <c r="A151">
        <v>3</v>
      </c>
      <c r="B151" t="s">
        <v>147</v>
      </c>
      <c r="C151" s="2">
        <v>42203</v>
      </c>
      <c r="D151">
        <f t="shared" ref="D151:D156" ca="1" si="1">DATEDIF(C151,TODAY(),"Y")</f>
        <v>10</v>
      </c>
      <c r="E151">
        <f t="shared" ref="E151:E156" ca="1" si="2">DATEDIF(C151,TODAY(),"M")</f>
        <v>125</v>
      </c>
      <c r="F151" t="str">
        <f t="shared" ca="1" si="0"/>
        <v>10 Years 5 Months</v>
      </c>
    </row>
    <row r="152" spans="1:6" x14ac:dyDescent="0.3">
      <c r="A152">
        <v>4</v>
      </c>
      <c r="B152" t="s">
        <v>148</v>
      </c>
      <c r="C152" s="2">
        <v>44316</v>
      </c>
      <c r="D152">
        <f t="shared" ca="1" si="1"/>
        <v>4</v>
      </c>
      <c r="E152">
        <f t="shared" ca="1" si="2"/>
        <v>56</v>
      </c>
      <c r="F152" t="str">
        <f t="shared" ca="1" si="0"/>
        <v>4 Years 8 Months</v>
      </c>
    </row>
    <row r="153" spans="1:6" x14ac:dyDescent="0.3">
      <c r="A153">
        <v>5</v>
      </c>
      <c r="B153" t="s">
        <v>149</v>
      </c>
      <c r="C153" s="2">
        <v>43266</v>
      </c>
      <c r="D153">
        <f t="shared" ca="1" si="1"/>
        <v>7</v>
      </c>
      <c r="E153">
        <f t="shared" ca="1" si="2"/>
        <v>90</v>
      </c>
      <c r="F153" t="str">
        <f t="shared" ca="1" si="0"/>
        <v>7 Years 6 Months</v>
      </c>
    </row>
    <row r="154" spans="1:6" x14ac:dyDescent="0.3">
      <c r="A154">
        <v>6</v>
      </c>
      <c r="B154" t="s">
        <v>150</v>
      </c>
      <c r="C154" s="2">
        <v>43891</v>
      </c>
      <c r="D154">
        <f t="shared" ca="1" si="1"/>
        <v>5</v>
      </c>
      <c r="E154">
        <f t="shared" ca="1" si="2"/>
        <v>70</v>
      </c>
      <c r="F154" t="str">
        <f t="shared" ca="1" si="0"/>
        <v>5 Years 10 Months</v>
      </c>
    </row>
    <row r="155" spans="1:6" x14ac:dyDescent="0.3">
      <c r="A155">
        <v>7</v>
      </c>
      <c r="B155" t="s">
        <v>151</v>
      </c>
      <c r="C155" s="2">
        <v>42684</v>
      </c>
      <c r="D155">
        <f t="shared" ca="1" si="1"/>
        <v>9</v>
      </c>
      <c r="E155">
        <f t="shared" ca="1" si="2"/>
        <v>109</v>
      </c>
      <c r="F155" t="str">
        <f t="shared" ca="1" si="0"/>
        <v>9 Years 1 Months</v>
      </c>
    </row>
    <row r="156" spans="1:6" x14ac:dyDescent="0.3">
      <c r="A156">
        <v>8</v>
      </c>
      <c r="B156" t="s">
        <v>152</v>
      </c>
      <c r="C156" s="2">
        <v>43081</v>
      </c>
      <c r="D156">
        <f t="shared" ca="1" si="1"/>
        <v>8</v>
      </c>
      <c r="E156">
        <f t="shared" ca="1" si="2"/>
        <v>96</v>
      </c>
      <c r="F156" t="str">
        <f t="shared" ca="1" si="0"/>
        <v>8 Years 0 Months</v>
      </c>
    </row>
    <row r="158" spans="1:6" x14ac:dyDescent="0.3">
      <c r="A158" t="s">
        <v>154</v>
      </c>
    </row>
    <row r="159" spans="1:6" x14ac:dyDescent="0.3">
      <c r="A159" t="s">
        <v>155</v>
      </c>
    </row>
    <row r="160" spans="1:6" x14ac:dyDescent="0.3">
      <c r="A160" t="s">
        <v>156</v>
      </c>
    </row>
    <row r="161" spans="1:10" ht="15" thickBot="1" x14ac:dyDescent="0.35">
      <c r="A161" s="9" t="s">
        <v>157</v>
      </c>
      <c r="B161" s="10" t="s">
        <v>158</v>
      </c>
      <c r="C161" s="10" t="s">
        <v>159</v>
      </c>
      <c r="D161" s="10" t="s">
        <v>160</v>
      </c>
      <c r="E161" s="10" t="s">
        <v>161</v>
      </c>
      <c r="F161" s="10" t="s">
        <v>162</v>
      </c>
      <c r="G161" s="10" t="s">
        <v>163</v>
      </c>
      <c r="H161" s="10" t="s">
        <v>164</v>
      </c>
      <c r="I161" s="10" t="s">
        <v>165</v>
      </c>
      <c r="J161" s="11" t="s">
        <v>166</v>
      </c>
    </row>
    <row r="162" spans="1:10" ht="27.6" thickBot="1" x14ac:dyDescent="0.35">
      <c r="A162" s="7" t="s">
        <v>167</v>
      </c>
      <c r="B162" s="4">
        <v>45292</v>
      </c>
      <c r="C162" s="3" t="s">
        <v>168</v>
      </c>
      <c r="D162" s="3" t="s">
        <v>169</v>
      </c>
      <c r="E162" s="3" t="s">
        <v>170</v>
      </c>
      <c r="F162" s="3" t="s">
        <v>171</v>
      </c>
      <c r="G162" s="3" t="s">
        <v>172</v>
      </c>
      <c r="H162" s="3" t="s">
        <v>173</v>
      </c>
      <c r="I162" s="3" t="s">
        <v>174</v>
      </c>
      <c r="J162" s="8">
        <v>0</v>
      </c>
    </row>
    <row r="163" spans="1:10" ht="27.6" thickBot="1" x14ac:dyDescent="0.35">
      <c r="A163" s="7" t="s">
        <v>175</v>
      </c>
      <c r="B163" s="4">
        <v>45380</v>
      </c>
      <c r="C163" s="3" t="s">
        <v>176</v>
      </c>
      <c r="D163" s="3" t="s">
        <v>169</v>
      </c>
      <c r="E163" s="3" t="s">
        <v>170</v>
      </c>
      <c r="F163" s="3" t="s">
        <v>177</v>
      </c>
      <c r="G163" s="3" t="s">
        <v>178</v>
      </c>
      <c r="H163" s="3" t="s">
        <v>173</v>
      </c>
      <c r="I163" s="3" t="s">
        <v>179</v>
      </c>
      <c r="J163" s="8">
        <v>0</v>
      </c>
    </row>
    <row r="164" spans="1:10" ht="27.6" thickBot="1" x14ac:dyDescent="0.35">
      <c r="A164" s="7" t="s">
        <v>180</v>
      </c>
      <c r="B164" s="4">
        <v>45296</v>
      </c>
      <c r="C164" s="3" t="s">
        <v>176</v>
      </c>
      <c r="D164" s="3" t="s">
        <v>169</v>
      </c>
      <c r="E164" s="3" t="s">
        <v>181</v>
      </c>
      <c r="F164" s="3" t="s">
        <v>182</v>
      </c>
      <c r="G164" s="3" t="s">
        <v>183</v>
      </c>
      <c r="H164" s="3" t="s">
        <v>184</v>
      </c>
      <c r="I164" s="3" t="s">
        <v>174</v>
      </c>
      <c r="J164" s="8">
        <v>3</v>
      </c>
    </row>
    <row r="165" spans="1:10" ht="15" thickBot="1" x14ac:dyDescent="0.35">
      <c r="A165" s="7" t="s">
        <v>185</v>
      </c>
      <c r="B165" s="4">
        <v>45445</v>
      </c>
      <c r="C165" s="3" t="s">
        <v>186</v>
      </c>
      <c r="D165" s="3" t="s">
        <v>187</v>
      </c>
      <c r="E165" s="3" t="s">
        <v>188</v>
      </c>
      <c r="F165" s="3" t="s">
        <v>171</v>
      </c>
      <c r="G165" s="3" t="s">
        <v>172</v>
      </c>
      <c r="H165" s="3" t="s">
        <v>184</v>
      </c>
      <c r="I165" s="3" t="s">
        <v>189</v>
      </c>
      <c r="J165" s="8">
        <v>4</v>
      </c>
    </row>
    <row r="166" spans="1:10" ht="15" thickBot="1" x14ac:dyDescent="0.35">
      <c r="A166" s="7" t="s">
        <v>190</v>
      </c>
      <c r="B166" s="4">
        <v>45350</v>
      </c>
      <c r="C166" s="3" t="s">
        <v>191</v>
      </c>
      <c r="D166" s="3" t="s">
        <v>192</v>
      </c>
      <c r="E166" s="3" t="s">
        <v>170</v>
      </c>
      <c r="F166" s="3" t="s">
        <v>171</v>
      </c>
      <c r="G166" s="3" t="s">
        <v>178</v>
      </c>
      <c r="H166" s="3" t="s">
        <v>173</v>
      </c>
      <c r="I166" s="3" t="s">
        <v>193</v>
      </c>
      <c r="J166" s="8">
        <v>0</v>
      </c>
    </row>
    <row r="167" spans="1:10" ht="15" thickBot="1" x14ac:dyDescent="0.35">
      <c r="A167" s="7" t="s">
        <v>194</v>
      </c>
      <c r="B167" s="4">
        <v>45399</v>
      </c>
      <c r="C167" s="3" t="s">
        <v>191</v>
      </c>
      <c r="D167" s="3" t="s">
        <v>192</v>
      </c>
      <c r="E167" s="3" t="s">
        <v>195</v>
      </c>
      <c r="F167" s="3" t="s">
        <v>196</v>
      </c>
      <c r="G167" s="3" t="s">
        <v>178</v>
      </c>
      <c r="H167" s="3" t="s">
        <v>197</v>
      </c>
      <c r="I167" s="3" t="s">
        <v>198</v>
      </c>
      <c r="J167" s="8">
        <v>4</v>
      </c>
    </row>
    <row r="168" spans="1:10" ht="15" thickBot="1" x14ac:dyDescent="0.35">
      <c r="A168" s="7" t="s">
        <v>199</v>
      </c>
      <c r="B168" s="4">
        <v>45338</v>
      </c>
      <c r="C168" s="3" t="s">
        <v>200</v>
      </c>
      <c r="D168" s="3" t="s">
        <v>192</v>
      </c>
      <c r="E168" s="3" t="s">
        <v>195</v>
      </c>
      <c r="F168" s="3" t="s">
        <v>196</v>
      </c>
      <c r="G168" s="3" t="s">
        <v>172</v>
      </c>
      <c r="H168" s="3" t="s">
        <v>197</v>
      </c>
      <c r="I168" s="3" t="s">
        <v>201</v>
      </c>
      <c r="J168" s="8">
        <v>2</v>
      </c>
    </row>
    <row r="169" spans="1:10" ht="15" thickBot="1" x14ac:dyDescent="0.35">
      <c r="A169" s="7" t="s">
        <v>202</v>
      </c>
      <c r="B169" s="4">
        <v>45369</v>
      </c>
      <c r="C169" s="3" t="s">
        <v>168</v>
      </c>
      <c r="D169" s="3" t="s">
        <v>169</v>
      </c>
      <c r="E169" s="3" t="s">
        <v>195</v>
      </c>
      <c r="F169" s="3" t="s">
        <v>177</v>
      </c>
      <c r="G169" s="3" t="s">
        <v>203</v>
      </c>
      <c r="H169" s="3" t="s">
        <v>173</v>
      </c>
      <c r="I169" s="3" t="s">
        <v>201</v>
      </c>
      <c r="J169" s="8">
        <v>5</v>
      </c>
    </row>
    <row r="170" spans="1:10" ht="27.6" thickBot="1" x14ac:dyDescent="0.35">
      <c r="A170" s="7" t="s">
        <v>204</v>
      </c>
      <c r="B170" s="4">
        <v>45425</v>
      </c>
      <c r="C170" s="3" t="s">
        <v>176</v>
      </c>
      <c r="D170" s="3" t="s">
        <v>187</v>
      </c>
      <c r="E170" s="3" t="s">
        <v>195</v>
      </c>
      <c r="F170" s="3" t="s">
        <v>182</v>
      </c>
      <c r="G170" s="3" t="s">
        <v>183</v>
      </c>
      <c r="H170" s="3" t="s">
        <v>197</v>
      </c>
      <c r="I170" s="3" t="s">
        <v>193</v>
      </c>
      <c r="J170" s="8">
        <v>2</v>
      </c>
    </row>
    <row r="171" spans="1:10" ht="27.6" thickBot="1" x14ac:dyDescent="0.35">
      <c r="A171" s="7" t="s">
        <v>205</v>
      </c>
      <c r="B171" s="4">
        <v>45307</v>
      </c>
      <c r="C171" s="3" t="s">
        <v>206</v>
      </c>
      <c r="D171" s="3" t="s">
        <v>187</v>
      </c>
      <c r="E171" s="3" t="s">
        <v>207</v>
      </c>
      <c r="F171" s="3" t="s">
        <v>171</v>
      </c>
      <c r="G171" s="3" t="s">
        <v>183</v>
      </c>
      <c r="H171" s="3" t="s">
        <v>208</v>
      </c>
      <c r="I171" s="3" t="s">
        <v>201</v>
      </c>
      <c r="J171" s="8">
        <v>5</v>
      </c>
    </row>
    <row r="172" spans="1:10" ht="15" thickBot="1" x14ac:dyDescent="0.35">
      <c r="A172" s="7" t="s">
        <v>209</v>
      </c>
      <c r="B172" s="4">
        <v>45299</v>
      </c>
      <c r="C172" s="3" t="s">
        <v>186</v>
      </c>
      <c r="D172" s="3" t="s">
        <v>210</v>
      </c>
      <c r="E172" s="3" t="s">
        <v>170</v>
      </c>
      <c r="F172" s="3" t="s">
        <v>171</v>
      </c>
      <c r="G172" s="3" t="s">
        <v>178</v>
      </c>
      <c r="H172" s="3" t="s">
        <v>184</v>
      </c>
      <c r="I172" s="3" t="s">
        <v>174</v>
      </c>
      <c r="J172" s="8">
        <v>0</v>
      </c>
    </row>
    <row r="173" spans="1:10" ht="27.6" thickBot="1" x14ac:dyDescent="0.35">
      <c r="A173" s="7" t="s">
        <v>211</v>
      </c>
      <c r="B173" s="4">
        <v>45468</v>
      </c>
      <c r="C173" s="3" t="s">
        <v>206</v>
      </c>
      <c r="D173" s="3" t="s">
        <v>212</v>
      </c>
      <c r="E173" s="3" t="s">
        <v>195</v>
      </c>
      <c r="F173" s="3" t="s">
        <v>171</v>
      </c>
      <c r="G173" s="3" t="s">
        <v>183</v>
      </c>
      <c r="H173" s="3" t="s">
        <v>208</v>
      </c>
      <c r="I173" s="3" t="s">
        <v>174</v>
      </c>
      <c r="J173" s="8">
        <v>3</v>
      </c>
    </row>
    <row r="174" spans="1:10" ht="15" thickBot="1" x14ac:dyDescent="0.35">
      <c r="A174" s="7" t="s">
        <v>213</v>
      </c>
      <c r="B174" s="4">
        <v>45380</v>
      </c>
      <c r="C174" s="3" t="s">
        <v>191</v>
      </c>
      <c r="D174" s="3" t="s">
        <v>212</v>
      </c>
      <c r="E174" s="3" t="s">
        <v>181</v>
      </c>
      <c r="F174" s="3" t="s">
        <v>196</v>
      </c>
      <c r="G174" s="3" t="s">
        <v>203</v>
      </c>
      <c r="H174" s="3" t="s">
        <v>208</v>
      </c>
      <c r="I174" s="3" t="s">
        <v>201</v>
      </c>
      <c r="J174" s="8">
        <v>1</v>
      </c>
    </row>
    <row r="175" spans="1:10" ht="15" thickBot="1" x14ac:dyDescent="0.35">
      <c r="A175" s="7" t="s">
        <v>214</v>
      </c>
      <c r="B175" s="4">
        <v>45384</v>
      </c>
      <c r="C175" s="3" t="s">
        <v>215</v>
      </c>
      <c r="D175" s="3" t="s">
        <v>169</v>
      </c>
      <c r="E175" s="3" t="s">
        <v>216</v>
      </c>
      <c r="F175" s="3" t="s">
        <v>177</v>
      </c>
      <c r="G175" s="3" t="s">
        <v>172</v>
      </c>
      <c r="H175" s="3" t="s">
        <v>208</v>
      </c>
      <c r="I175" s="3" t="s">
        <v>198</v>
      </c>
      <c r="J175" s="8">
        <v>2</v>
      </c>
    </row>
    <row r="176" spans="1:10" ht="27.6" thickBot="1" x14ac:dyDescent="0.35">
      <c r="A176" s="7" t="s">
        <v>217</v>
      </c>
      <c r="B176" s="4">
        <v>45378</v>
      </c>
      <c r="C176" s="3" t="s">
        <v>215</v>
      </c>
      <c r="D176" s="3" t="s">
        <v>212</v>
      </c>
      <c r="E176" s="3" t="s">
        <v>207</v>
      </c>
      <c r="F176" s="3" t="s">
        <v>177</v>
      </c>
      <c r="G176" s="3" t="s">
        <v>183</v>
      </c>
      <c r="H176" s="3" t="s">
        <v>173</v>
      </c>
      <c r="I176" s="3" t="s">
        <v>189</v>
      </c>
      <c r="J176" s="8">
        <v>1</v>
      </c>
    </row>
    <row r="177" spans="1:10" ht="27.6" thickBot="1" x14ac:dyDescent="0.35">
      <c r="A177" s="7" t="s">
        <v>218</v>
      </c>
      <c r="B177" s="4">
        <v>45431</v>
      </c>
      <c r="C177" s="3" t="s">
        <v>215</v>
      </c>
      <c r="D177" s="3" t="s">
        <v>169</v>
      </c>
      <c r="E177" s="3" t="s">
        <v>188</v>
      </c>
      <c r="F177" s="3" t="s">
        <v>177</v>
      </c>
      <c r="G177" s="3" t="s">
        <v>178</v>
      </c>
      <c r="H177" s="3" t="s">
        <v>208</v>
      </c>
      <c r="I177" s="3" t="s">
        <v>179</v>
      </c>
      <c r="J177" s="8">
        <v>5</v>
      </c>
    </row>
    <row r="178" spans="1:10" ht="27.6" thickBot="1" x14ac:dyDescent="0.35">
      <c r="A178" s="7" t="s">
        <v>219</v>
      </c>
      <c r="B178" s="4">
        <v>45354</v>
      </c>
      <c r="C178" s="3" t="s">
        <v>168</v>
      </c>
      <c r="D178" s="3" t="s">
        <v>187</v>
      </c>
      <c r="E178" s="3" t="s">
        <v>207</v>
      </c>
      <c r="F178" s="3" t="s">
        <v>182</v>
      </c>
      <c r="G178" s="3" t="s">
        <v>183</v>
      </c>
      <c r="H178" s="3" t="s">
        <v>173</v>
      </c>
      <c r="I178" s="3" t="s">
        <v>179</v>
      </c>
      <c r="J178" s="8">
        <v>4</v>
      </c>
    </row>
    <row r="179" spans="1:10" ht="27.6" thickBot="1" x14ac:dyDescent="0.35">
      <c r="A179" s="7" t="s">
        <v>220</v>
      </c>
      <c r="B179" s="4">
        <v>45359</v>
      </c>
      <c r="C179" s="3" t="s">
        <v>221</v>
      </c>
      <c r="D179" s="3" t="s">
        <v>169</v>
      </c>
      <c r="E179" s="3" t="s">
        <v>195</v>
      </c>
      <c r="F179" s="3" t="s">
        <v>182</v>
      </c>
      <c r="G179" s="3" t="s">
        <v>183</v>
      </c>
      <c r="H179" s="3" t="s">
        <v>173</v>
      </c>
      <c r="I179" s="3" t="s">
        <v>189</v>
      </c>
      <c r="J179" s="8">
        <v>3</v>
      </c>
    </row>
    <row r="180" spans="1:10" ht="27.6" thickBot="1" x14ac:dyDescent="0.35">
      <c r="A180" s="7" t="s">
        <v>222</v>
      </c>
      <c r="B180" s="4">
        <v>45469</v>
      </c>
      <c r="C180" s="3" t="s">
        <v>200</v>
      </c>
      <c r="D180" s="3" t="s">
        <v>169</v>
      </c>
      <c r="E180" s="3" t="s">
        <v>207</v>
      </c>
      <c r="F180" s="3" t="s">
        <v>196</v>
      </c>
      <c r="G180" s="3" t="s">
        <v>203</v>
      </c>
      <c r="H180" s="3" t="s">
        <v>208</v>
      </c>
      <c r="I180" s="3" t="s">
        <v>198</v>
      </c>
      <c r="J180" s="8">
        <v>4</v>
      </c>
    </row>
    <row r="181" spans="1:10" ht="27.6" thickBot="1" x14ac:dyDescent="0.35">
      <c r="A181" s="7" t="s">
        <v>223</v>
      </c>
      <c r="B181" s="4">
        <v>45317</v>
      </c>
      <c r="C181" s="3" t="s">
        <v>200</v>
      </c>
      <c r="D181" s="3" t="s">
        <v>187</v>
      </c>
      <c r="E181" s="3" t="s">
        <v>181</v>
      </c>
      <c r="F181" s="3" t="s">
        <v>196</v>
      </c>
      <c r="G181" s="3" t="s">
        <v>178</v>
      </c>
      <c r="H181" s="3" t="s">
        <v>173</v>
      </c>
      <c r="I181" s="3" t="s">
        <v>189</v>
      </c>
      <c r="J181" s="8">
        <v>5</v>
      </c>
    </row>
    <row r="182" spans="1:10" ht="27.6" thickBot="1" x14ac:dyDescent="0.35">
      <c r="A182" s="7" t="s">
        <v>224</v>
      </c>
      <c r="B182" s="4">
        <v>45327</v>
      </c>
      <c r="C182" s="3" t="s">
        <v>186</v>
      </c>
      <c r="D182" s="3" t="s">
        <v>192</v>
      </c>
      <c r="E182" s="3" t="s">
        <v>207</v>
      </c>
      <c r="F182" s="3" t="s">
        <v>182</v>
      </c>
      <c r="G182" s="3" t="s">
        <v>178</v>
      </c>
      <c r="H182" s="3" t="s">
        <v>197</v>
      </c>
      <c r="I182" s="3" t="s">
        <v>179</v>
      </c>
      <c r="J182" s="8">
        <v>5</v>
      </c>
    </row>
    <row r="183" spans="1:10" ht="27.6" thickBot="1" x14ac:dyDescent="0.35">
      <c r="A183" s="7" t="s">
        <v>225</v>
      </c>
      <c r="B183" s="4">
        <v>45450</v>
      </c>
      <c r="C183" s="3" t="s">
        <v>168</v>
      </c>
      <c r="D183" s="3" t="s">
        <v>210</v>
      </c>
      <c r="E183" s="3" t="s">
        <v>188</v>
      </c>
      <c r="F183" s="3" t="s">
        <v>177</v>
      </c>
      <c r="G183" s="3" t="s">
        <v>183</v>
      </c>
      <c r="H183" s="3" t="s">
        <v>184</v>
      </c>
      <c r="I183" s="3" t="s">
        <v>193</v>
      </c>
      <c r="J183" s="8">
        <v>4</v>
      </c>
    </row>
    <row r="184" spans="1:10" ht="27.6" thickBot="1" x14ac:dyDescent="0.35">
      <c r="A184" s="7" t="s">
        <v>226</v>
      </c>
      <c r="B184" s="4">
        <v>45378</v>
      </c>
      <c r="C184" s="3" t="s">
        <v>215</v>
      </c>
      <c r="D184" s="3" t="s">
        <v>187</v>
      </c>
      <c r="E184" s="3" t="s">
        <v>181</v>
      </c>
      <c r="F184" s="3" t="s">
        <v>196</v>
      </c>
      <c r="G184" s="3" t="s">
        <v>183</v>
      </c>
      <c r="H184" s="3" t="s">
        <v>208</v>
      </c>
      <c r="I184" s="3" t="s">
        <v>193</v>
      </c>
      <c r="J184" s="8">
        <v>4</v>
      </c>
    </row>
    <row r="185" spans="1:10" ht="27.6" thickBot="1" x14ac:dyDescent="0.35">
      <c r="A185" s="7" t="s">
        <v>227</v>
      </c>
      <c r="B185" s="4">
        <v>45346</v>
      </c>
      <c r="C185" s="3" t="s">
        <v>176</v>
      </c>
      <c r="D185" s="3" t="s">
        <v>210</v>
      </c>
      <c r="E185" s="3" t="s">
        <v>188</v>
      </c>
      <c r="F185" s="3" t="s">
        <v>196</v>
      </c>
      <c r="G185" s="3" t="s">
        <v>172</v>
      </c>
      <c r="H185" s="3" t="s">
        <v>173</v>
      </c>
      <c r="I185" s="3" t="s">
        <v>174</v>
      </c>
      <c r="J185" s="8">
        <v>0</v>
      </c>
    </row>
    <row r="186" spans="1:10" ht="27.6" thickBot="1" x14ac:dyDescent="0.35">
      <c r="A186" s="7" t="s">
        <v>228</v>
      </c>
      <c r="B186" s="4">
        <v>45447</v>
      </c>
      <c r="C186" s="3" t="s">
        <v>200</v>
      </c>
      <c r="D186" s="3" t="s">
        <v>192</v>
      </c>
      <c r="E186" s="3" t="s">
        <v>207</v>
      </c>
      <c r="F186" s="3" t="s">
        <v>196</v>
      </c>
      <c r="G186" s="3" t="s">
        <v>178</v>
      </c>
      <c r="H186" s="3" t="s">
        <v>184</v>
      </c>
      <c r="I186" s="3" t="s">
        <v>198</v>
      </c>
      <c r="J186" s="8">
        <v>1</v>
      </c>
    </row>
    <row r="187" spans="1:10" ht="15" thickBot="1" x14ac:dyDescent="0.35">
      <c r="A187" s="7" t="s">
        <v>229</v>
      </c>
      <c r="B187" s="4">
        <v>45442</v>
      </c>
      <c r="C187" s="3" t="s">
        <v>186</v>
      </c>
      <c r="D187" s="3" t="s">
        <v>187</v>
      </c>
      <c r="E187" s="3" t="s">
        <v>216</v>
      </c>
      <c r="F187" s="3" t="s">
        <v>171</v>
      </c>
      <c r="G187" s="3" t="s">
        <v>178</v>
      </c>
      <c r="H187" s="3" t="s">
        <v>173</v>
      </c>
      <c r="I187" s="3" t="s">
        <v>193</v>
      </c>
      <c r="J187" s="8">
        <v>0</v>
      </c>
    </row>
    <row r="188" spans="1:10" ht="27.6" thickBot="1" x14ac:dyDescent="0.35">
      <c r="A188" s="7" t="s">
        <v>230</v>
      </c>
      <c r="B188" s="4">
        <v>45386</v>
      </c>
      <c r="C188" s="3" t="s">
        <v>168</v>
      </c>
      <c r="D188" s="3" t="s">
        <v>212</v>
      </c>
      <c r="E188" s="3" t="s">
        <v>195</v>
      </c>
      <c r="F188" s="3" t="s">
        <v>182</v>
      </c>
      <c r="G188" s="3" t="s">
        <v>203</v>
      </c>
      <c r="H188" s="3" t="s">
        <v>184</v>
      </c>
      <c r="I188" s="3" t="s">
        <v>174</v>
      </c>
      <c r="J188" s="8">
        <v>0</v>
      </c>
    </row>
    <row r="189" spans="1:10" ht="27.6" thickBot="1" x14ac:dyDescent="0.35">
      <c r="A189" s="7" t="s">
        <v>231</v>
      </c>
      <c r="B189" s="4">
        <v>45422</v>
      </c>
      <c r="C189" s="3" t="s">
        <v>168</v>
      </c>
      <c r="D189" s="3" t="s">
        <v>169</v>
      </c>
      <c r="E189" s="3" t="s">
        <v>181</v>
      </c>
      <c r="F189" s="3" t="s">
        <v>177</v>
      </c>
      <c r="G189" s="3" t="s">
        <v>172</v>
      </c>
      <c r="H189" s="3" t="s">
        <v>208</v>
      </c>
      <c r="I189" s="3" t="s">
        <v>189</v>
      </c>
      <c r="J189" s="8">
        <v>4</v>
      </c>
    </row>
    <row r="190" spans="1:10" ht="15" thickBot="1" x14ac:dyDescent="0.35">
      <c r="A190" s="7" t="s">
        <v>232</v>
      </c>
      <c r="B190" s="4">
        <v>45353</v>
      </c>
      <c r="C190" s="3" t="s">
        <v>215</v>
      </c>
      <c r="D190" s="3" t="s">
        <v>192</v>
      </c>
      <c r="E190" s="3" t="s">
        <v>170</v>
      </c>
      <c r="F190" s="3" t="s">
        <v>196</v>
      </c>
      <c r="G190" s="3" t="s">
        <v>178</v>
      </c>
      <c r="H190" s="3" t="s">
        <v>208</v>
      </c>
      <c r="I190" s="3" t="s">
        <v>193</v>
      </c>
      <c r="J190" s="8">
        <v>4</v>
      </c>
    </row>
    <row r="191" spans="1:10" ht="27.6" thickBot="1" x14ac:dyDescent="0.35">
      <c r="A191" s="7" t="s">
        <v>233</v>
      </c>
      <c r="B191" s="4">
        <v>45398</v>
      </c>
      <c r="C191" s="3" t="s">
        <v>186</v>
      </c>
      <c r="D191" s="3" t="s">
        <v>212</v>
      </c>
      <c r="E191" s="3" t="s">
        <v>195</v>
      </c>
      <c r="F191" s="3" t="s">
        <v>177</v>
      </c>
      <c r="G191" s="3" t="s">
        <v>183</v>
      </c>
      <c r="H191" s="3" t="s">
        <v>208</v>
      </c>
      <c r="I191" s="3" t="s">
        <v>179</v>
      </c>
      <c r="J191" s="8">
        <v>0</v>
      </c>
    </row>
    <row r="192" spans="1:10" ht="27.6" thickBot="1" x14ac:dyDescent="0.35">
      <c r="A192" s="7" t="s">
        <v>234</v>
      </c>
      <c r="B192" s="4">
        <v>45452</v>
      </c>
      <c r="C192" s="3" t="s">
        <v>221</v>
      </c>
      <c r="D192" s="3" t="s">
        <v>210</v>
      </c>
      <c r="E192" s="3" t="s">
        <v>207</v>
      </c>
      <c r="F192" s="3" t="s">
        <v>196</v>
      </c>
      <c r="G192" s="3" t="s">
        <v>203</v>
      </c>
      <c r="H192" s="3" t="s">
        <v>208</v>
      </c>
      <c r="I192" s="3" t="s">
        <v>174</v>
      </c>
      <c r="J192" s="8">
        <v>5</v>
      </c>
    </row>
    <row r="193" spans="1:10" ht="27.6" thickBot="1" x14ac:dyDescent="0.35">
      <c r="A193" s="7" t="s">
        <v>235</v>
      </c>
      <c r="B193" s="4">
        <v>45347</v>
      </c>
      <c r="C193" s="3" t="s">
        <v>215</v>
      </c>
      <c r="D193" s="3" t="s">
        <v>212</v>
      </c>
      <c r="E193" s="3" t="s">
        <v>170</v>
      </c>
      <c r="F193" s="3" t="s">
        <v>196</v>
      </c>
      <c r="G193" s="3" t="s">
        <v>178</v>
      </c>
      <c r="H193" s="3" t="s">
        <v>184</v>
      </c>
      <c r="I193" s="3" t="s">
        <v>198</v>
      </c>
      <c r="J193" s="8">
        <v>2</v>
      </c>
    </row>
    <row r="194" spans="1:10" ht="27.6" thickBot="1" x14ac:dyDescent="0.35">
      <c r="A194" s="7" t="s">
        <v>236</v>
      </c>
      <c r="B194" s="4">
        <v>45467</v>
      </c>
      <c r="C194" s="3" t="s">
        <v>186</v>
      </c>
      <c r="D194" s="3" t="s">
        <v>210</v>
      </c>
      <c r="E194" s="3" t="s">
        <v>170</v>
      </c>
      <c r="F194" s="3" t="s">
        <v>182</v>
      </c>
      <c r="G194" s="3" t="s">
        <v>178</v>
      </c>
      <c r="H194" s="3" t="s">
        <v>184</v>
      </c>
      <c r="I194" s="3" t="s">
        <v>179</v>
      </c>
      <c r="J194" s="8">
        <v>1</v>
      </c>
    </row>
    <row r="195" spans="1:10" ht="27.6" thickBot="1" x14ac:dyDescent="0.35">
      <c r="A195" s="7" t="s">
        <v>237</v>
      </c>
      <c r="B195" s="4">
        <v>45403</v>
      </c>
      <c r="C195" s="3" t="s">
        <v>221</v>
      </c>
      <c r="D195" s="3" t="s">
        <v>192</v>
      </c>
      <c r="E195" s="3" t="s">
        <v>181</v>
      </c>
      <c r="F195" s="3" t="s">
        <v>171</v>
      </c>
      <c r="G195" s="3" t="s">
        <v>183</v>
      </c>
      <c r="H195" s="3" t="s">
        <v>197</v>
      </c>
      <c r="I195" s="3" t="s">
        <v>198</v>
      </c>
      <c r="J195" s="8">
        <v>1</v>
      </c>
    </row>
    <row r="196" spans="1:10" ht="15" thickBot="1" x14ac:dyDescent="0.35">
      <c r="A196" s="7" t="s">
        <v>238</v>
      </c>
      <c r="B196" s="4">
        <v>45293</v>
      </c>
      <c r="C196" s="3" t="s">
        <v>176</v>
      </c>
      <c r="D196" s="3" t="s">
        <v>169</v>
      </c>
      <c r="E196" s="3" t="s">
        <v>188</v>
      </c>
      <c r="F196" s="3" t="s">
        <v>171</v>
      </c>
      <c r="G196" s="3" t="s">
        <v>203</v>
      </c>
      <c r="H196" s="3" t="s">
        <v>208</v>
      </c>
      <c r="I196" s="3" t="s">
        <v>201</v>
      </c>
      <c r="J196" s="8">
        <v>3</v>
      </c>
    </row>
    <row r="197" spans="1:10" ht="27.6" thickBot="1" x14ac:dyDescent="0.35">
      <c r="A197" s="7" t="s">
        <v>239</v>
      </c>
      <c r="B197" s="4">
        <v>45436</v>
      </c>
      <c r="C197" s="3" t="s">
        <v>221</v>
      </c>
      <c r="D197" s="3" t="s">
        <v>192</v>
      </c>
      <c r="E197" s="3" t="s">
        <v>170</v>
      </c>
      <c r="F197" s="3" t="s">
        <v>171</v>
      </c>
      <c r="G197" s="3" t="s">
        <v>203</v>
      </c>
      <c r="H197" s="3" t="s">
        <v>173</v>
      </c>
      <c r="I197" s="3" t="s">
        <v>179</v>
      </c>
      <c r="J197" s="8">
        <v>4</v>
      </c>
    </row>
    <row r="198" spans="1:10" ht="27.6" thickBot="1" x14ac:dyDescent="0.35">
      <c r="A198" s="7" t="s">
        <v>240</v>
      </c>
      <c r="B198" s="4">
        <v>45317</v>
      </c>
      <c r="C198" s="3" t="s">
        <v>206</v>
      </c>
      <c r="D198" s="3" t="s">
        <v>210</v>
      </c>
      <c r="E198" s="3" t="s">
        <v>207</v>
      </c>
      <c r="F198" s="3" t="s">
        <v>171</v>
      </c>
      <c r="G198" s="3" t="s">
        <v>183</v>
      </c>
      <c r="H198" s="3" t="s">
        <v>197</v>
      </c>
      <c r="I198" s="3" t="s">
        <v>174</v>
      </c>
      <c r="J198" s="8">
        <v>5</v>
      </c>
    </row>
    <row r="199" spans="1:10" ht="27.6" thickBot="1" x14ac:dyDescent="0.35">
      <c r="A199" s="7" t="s">
        <v>241</v>
      </c>
      <c r="B199" s="4">
        <v>45314</v>
      </c>
      <c r="C199" s="3" t="s">
        <v>191</v>
      </c>
      <c r="D199" s="3" t="s">
        <v>169</v>
      </c>
      <c r="E199" s="3" t="s">
        <v>170</v>
      </c>
      <c r="F199" s="3" t="s">
        <v>182</v>
      </c>
      <c r="G199" s="3" t="s">
        <v>183</v>
      </c>
      <c r="H199" s="3" t="s">
        <v>208</v>
      </c>
      <c r="I199" s="3" t="s">
        <v>201</v>
      </c>
      <c r="J199" s="8">
        <v>0</v>
      </c>
    </row>
    <row r="200" spans="1:10" ht="27.6" thickBot="1" x14ac:dyDescent="0.35">
      <c r="A200" s="7" t="s">
        <v>242</v>
      </c>
      <c r="B200" s="4">
        <v>45408</v>
      </c>
      <c r="C200" s="3" t="s">
        <v>186</v>
      </c>
      <c r="D200" s="3" t="s">
        <v>192</v>
      </c>
      <c r="E200" s="3" t="s">
        <v>195</v>
      </c>
      <c r="F200" s="3" t="s">
        <v>177</v>
      </c>
      <c r="G200" s="3" t="s">
        <v>183</v>
      </c>
      <c r="H200" s="3" t="s">
        <v>184</v>
      </c>
      <c r="I200" s="3" t="s">
        <v>201</v>
      </c>
      <c r="J200" s="8">
        <v>2</v>
      </c>
    </row>
    <row r="201" spans="1:10" ht="15" thickBot="1" x14ac:dyDescent="0.35">
      <c r="A201" s="7" t="s">
        <v>243</v>
      </c>
      <c r="B201" s="4">
        <v>45365</v>
      </c>
      <c r="C201" s="3" t="s">
        <v>168</v>
      </c>
      <c r="D201" s="3" t="s">
        <v>169</v>
      </c>
      <c r="E201" s="3" t="s">
        <v>170</v>
      </c>
      <c r="F201" s="3" t="s">
        <v>196</v>
      </c>
      <c r="G201" s="3" t="s">
        <v>178</v>
      </c>
      <c r="H201" s="3" t="s">
        <v>184</v>
      </c>
      <c r="I201" s="3" t="s">
        <v>193</v>
      </c>
      <c r="J201" s="8">
        <v>1</v>
      </c>
    </row>
    <row r="202" spans="1:10" ht="27.6" thickBot="1" x14ac:dyDescent="0.35">
      <c r="A202" s="7" t="s">
        <v>244</v>
      </c>
      <c r="B202" s="4">
        <v>45301</v>
      </c>
      <c r="C202" s="3" t="s">
        <v>168</v>
      </c>
      <c r="D202" s="3" t="s">
        <v>192</v>
      </c>
      <c r="E202" s="3" t="s">
        <v>170</v>
      </c>
      <c r="F202" s="3" t="s">
        <v>171</v>
      </c>
      <c r="G202" s="3" t="s">
        <v>203</v>
      </c>
      <c r="H202" s="3" t="s">
        <v>197</v>
      </c>
      <c r="I202" s="3" t="s">
        <v>189</v>
      </c>
      <c r="J202" s="8">
        <v>4</v>
      </c>
    </row>
    <row r="203" spans="1:10" ht="27.6" thickBot="1" x14ac:dyDescent="0.35">
      <c r="A203" s="7" t="s">
        <v>245</v>
      </c>
      <c r="B203" s="4">
        <v>45410</v>
      </c>
      <c r="C203" s="3" t="s">
        <v>176</v>
      </c>
      <c r="D203" s="3" t="s">
        <v>187</v>
      </c>
      <c r="E203" s="3" t="s">
        <v>195</v>
      </c>
      <c r="F203" s="3" t="s">
        <v>177</v>
      </c>
      <c r="G203" s="3" t="s">
        <v>183</v>
      </c>
      <c r="H203" s="3" t="s">
        <v>197</v>
      </c>
      <c r="I203" s="3" t="s">
        <v>201</v>
      </c>
      <c r="J203" s="8">
        <v>2</v>
      </c>
    </row>
    <row r="204" spans="1:10" ht="27.6" thickBot="1" x14ac:dyDescent="0.35">
      <c r="A204" s="7" t="s">
        <v>246</v>
      </c>
      <c r="B204" s="4">
        <v>45314</v>
      </c>
      <c r="C204" s="3" t="s">
        <v>191</v>
      </c>
      <c r="D204" s="3" t="s">
        <v>169</v>
      </c>
      <c r="E204" s="3" t="s">
        <v>181</v>
      </c>
      <c r="F204" s="3" t="s">
        <v>182</v>
      </c>
      <c r="G204" s="3" t="s">
        <v>183</v>
      </c>
      <c r="H204" s="3" t="s">
        <v>197</v>
      </c>
      <c r="I204" s="3" t="s">
        <v>189</v>
      </c>
      <c r="J204" s="8">
        <v>2</v>
      </c>
    </row>
    <row r="205" spans="1:10" ht="15" thickBot="1" x14ac:dyDescent="0.35">
      <c r="A205" s="7" t="s">
        <v>247</v>
      </c>
      <c r="B205" s="4">
        <v>45370</v>
      </c>
      <c r="C205" s="3" t="s">
        <v>168</v>
      </c>
      <c r="D205" s="3" t="s">
        <v>192</v>
      </c>
      <c r="E205" s="3" t="s">
        <v>195</v>
      </c>
      <c r="F205" s="3" t="s">
        <v>182</v>
      </c>
      <c r="G205" s="3" t="s">
        <v>203</v>
      </c>
      <c r="H205" s="3" t="s">
        <v>184</v>
      </c>
      <c r="I205" s="3" t="s">
        <v>193</v>
      </c>
      <c r="J205" s="8">
        <v>4</v>
      </c>
    </row>
    <row r="206" spans="1:10" ht="27.6" thickBot="1" x14ac:dyDescent="0.35">
      <c r="A206" s="7" t="s">
        <v>248</v>
      </c>
      <c r="B206" s="4">
        <v>45371</v>
      </c>
      <c r="C206" s="3" t="s">
        <v>168</v>
      </c>
      <c r="D206" s="3" t="s">
        <v>169</v>
      </c>
      <c r="E206" s="3" t="s">
        <v>216</v>
      </c>
      <c r="F206" s="3" t="s">
        <v>171</v>
      </c>
      <c r="G206" s="3" t="s">
        <v>203</v>
      </c>
      <c r="H206" s="3" t="s">
        <v>208</v>
      </c>
      <c r="I206" s="3" t="s">
        <v>189</v>
      </c>
      <c r="J206" s="8">
        <v>3</v>
      </c>
    </row>
    <row r="207" spans="1:10" ht="15" thickBot="1" x14ac:dyDescent="0.35">
      <c r="A207" s="7" t="s">
        <v>249</v>
      </c>
      <c r="B207" s="4">
        <v>45417</v>
      </c>
      <c r="C207" s="3" t="s">
        <v>176</v>
      </c>
      <c r="D207" s="3" t="s">
        <v>192</v>
      </c>
      <c r="E207" s="3" t="s">
        <v>207</v>
      </c>
      <c r="F207" s="3" t="s">
        <v>196</v>
      </c>
      <c r="G207" s="3" t="s">
        <v>172</v>
      </c>
      <c r="H207" s="3" t="s">
        <v>197</v>
      </c>
      <c r="I207" s="3" t="s">
        <v>201</v>
      </c>
      <c r="J207" s="8">
        <v>0</v>
      </c>
    </row>
    <row r="208" spans="1:10" ht="27.6" thickBot="1" x14ac:dyDescent="0.35">
      <c r="A208" s="7" t="s">
        <v>250</v>
      </c>
      <c r="B208" s="4">
        <v>45402</v>
      </c>
      <c r="C208" s="3" t="s">
        <v>168</v>
      </c>
      <c r="D208" s="3" t="s">
        <v>169</v>
      </c>
      <c r="E208" s="3" t="s">
        <v>195</v>
      </c>
      <c r="F208" s="3" t="s">
        <v>177</v>
      </c>
      <c r="G208" s="3" t="s">
        <v>172</v>
      </c>
      <c r="H208" s="3" t="s">
        <v>208</v>
      </c>
      <c r="I208" s="3" t="s">
        <v>174</v>
      </c>
      <c r="J208" s="8">
        <v>1</v>
      </c>
    </row>
    <row r="209" spans="1:10" ht="27.6" thickBot="1" x14ac:dyDescent="0.35">
      <c r="A209" s="7" t="s">
        <v>251</v>
      </c>
      <c r="B209" s="4">
        <v>45466</v>
      </c>
      <c r="C209" s="3" t="s">
        <v>215</v>
      </c>
      <c r="D209" s="3" t="s">
        <v>192</v>
      </c>
      <c r="E209" s="3" t="s">
        <v>207</v>
      </c>
      <c r="F209" s="3" t="s">
        <v>196</v>
      </c>
      <c r="G209" s="3" t="s">
        <v>203</v>
      </c>
      <c r="H209" s="3" t="s">
        <v>184</v>
      </c>
      <c r="I209" s="3" t="s">
        <v>198</v>
      </c>
      <c r="J209" s="8">
        <v>0</v>
      </c>
    </row>
    <row r="210" spans="1:10" ht="15" thickBot="1" x14ac:dyDescent="0.35">
      <c r="A210" s="7" t="s">
        <v>252</v>
      </c>
      <c r="B210" s="4">
        <v>45369</v>
      </c>
      <c r="C210" s="3" t="s">
        <v>221</v>
      </c>
      <c r="D210" s="3" t="s">
        <v>187</v>
      </c>
      <c r="E210" s="3" t="s">
        <v>207</v>
      </c>
      <c r="F210" s="3" t="s">
        <v>171</v>
      </c>
      <c r="G210" s="3" t="s">
        <v>172</v>
      </c>
      <c r="H210" s="3" t="s">
        <v>173</v>
      </c>
      <c r="I210" s="3" t="s">
        <v>193</v>
      </c>
      <c r="J210" s="8">
        <v>5</v>
      </c>
    </row>
    <row r="211" spans="1:10" ht="15" thickBot="1" x14ac:dyDescent="0.35">
      <c r="A211" s="7" t="s">
        <v>253</v>
      </c>
      <c r="B211" s="4">
        <v>45436</v>
      </c>
      <c r="C211" s="3" t="s">
        <v>191</v>
      </c>
      <c r="D211" s="3" t="s">
        <v>212</v>
      </c>
      <c r="E211" s="3" t="s">
        <v>188</v>
      </c>
      <c r="F211" s="3" t="s">
        <v>177</v>
      </c>
      <c r="G211" s="3" t="s">
        <v>178</v>
      </c>
      <c r="H211" s="3" t="s">
        <v>197</v>
      </c>
      <c r="I211" s="3" t="s">
        <v>201</v>
      </c>
      <c r="J211" s="8">
        <v>2</v>
      </c>
    </row>
    <row r="212" spans="1:10" ht="27.6" thickBot="1" x14ac:dyDescent="0.35">
      <c r="A212" s="7" t="s">
        <v>254</v>
      </c>
      <c r="B212" s="4">
        <v>45383</v>
      </c>
      <c r="C212" s="3" t="s">
        <v>206</v>
      </c>
      <c r="D212" s="3" t="s">
        <v>187</v>
      </c>
      <c r="E212" s="3" t="s">
        <v>181</v>
      </c>
      <c r="F212" s="3" t="s">
        <v>182</v>
      </c>
      <c r="G212" s="3" t="s">
        <v>172</v>
      </c>
      <c r="H212" s="3" t="s">
        <v>173</v>
      </c>
      <c r="I212" s="3" t="s">
        <v>198</v>
      </c>
      <c r="J212" s="8">
        <v>0</v>
      </c>
    </row>
    <row r="213" spans="1:10" ht="15" thickBot="1" x14ac:dyDescent="0.35">
      <c r="A213" s="7" t="s">
        <v>255</v>
      </c>
      <c r="B213" s="4">
        <v>45347</v>
      </c>
      <c r="C213" s="3" t="s">
        <v>200</v>
      </c>
      <c r="D213" s="3" t="s">
        <v>192</v>
      </c>
      <c r="E213" s="3" t="s">
        <v>188</v>
      </c>
      <c r="F213" s="3" t="s">
        <v>177</v>
      </c>
      <c r="G213" s="3" t="s">
        <v>178</v>
      </c>
      <c r="H213" s="3" t="s">
        <v>208</v>
      </c>
      <c r="I213" s="3" t="s">
        <v>193</v>
      </c>
      <c r="J213" s="8">
        <v>2</v>
      </c>
    </row>
    <row r="214" spans="1:10" ht="27.6" thickBot="1" x14ac:dyDescent="0.35">
      <c r="A214" s="7" t="s">
        <v>256</v>
      </c>
      <c r="B214" s="4">
        <v>45311</v>
      </c>
      <c r="C214" s="3" t="s">
        <v>221</v>
      </c>
      <c r="D214" s="3" t="s">
        <v>212</v>
      </c>
      <c r="E214" s="3" t="s">
        <v>195</v>
      </c>
      <c r="F214" s="3" t="s">
        <v>182</v>
      </c>
      <c r="G214" s="3" t="s">
        <v>183</v>
      </c>
      <c r="H214" s="3" t="s">
        <v>173</v>
      </c>
      <c r="I214" s="3" t="s">
        <v>198</v>
      </c>
      <c r="J214" s="8">
        <v>3</v>
      </c>
    </row>
    <row r="215" spans="1:10" ht="27.6" thickBot="1" x14ac:dyDescent="0.35">
      <c r="A215" s="7" t="s">
        <v>257</v>
      </c>
      <c r="B215" s="4">
        <v>45345</v>
      </c>
      <c r="C215" s="3" t="s">
        <v>168</v>
      </c>
      <c r="D215" s="3" t="s">
        <v>192</v>
      </c>
      <c r="E215" s="3" t="s">
        <v>188</v>
      </c>
      <c r="F215" s="3" t="s">
        <v>182</v>
      </c>
      <c r="G215" s="3" t="s">
        <v>172</v>
      </c>
      <c r="H215" s="3" t="s">
        <v>208</v>
      </c>
      <c r="I215" s="3" t="s">
        <v>198</v>
      </c>
      <c r="J215" s="8">
        <v>5</v>
      </c>
    </row>
    <row r="216" spans="1:10" ht="27.6" thickBot="1" x14ac:dyDescent="0.35">
      <c r="A216" s="7" t="s">
        <v>258</v>
      </c>
      <c r="B216" s="4">
        <v>45433</v>
      </c>
      <c r="C216" s="3" t="s">
        <v>168</v>
      </c>
      <c r="D216" s="3" t="s">
        <v>169</v>
      </c>
      <c r="E216" s="3" t="s">
        <v>170</v>
      </c>
      <c r="F216" s="3" t="s">
        <v>171</v>
      </c>
      <c r="G216" s="3" t="s">
        <v>178</v>
      </c>
      <c r="H216" s="3" t="s">
        <v>173</v>
      </c>
      <c r="I216" s="3" t="s">
        <v>189</v>
      </c>
      <c r="J216" s="8">
        <v>4</v>
      </c>
    </row>
    <row r="217" spans="1:10" ht="27.6" thickBot="1" x14ac:dyDescent="0.35">
      <c r="A217" s="7" t="s">
        <v>259</v>
      </c>
      <c r="B217" s="4">
        <v>45374</v>
      </c>
      <c r="C217" s="3" t="s">
        <v>191</v>
      </c>
      <c r="D217" s="3" t="s">
        <v>169</v>
      </c>
      <c r="E217" s="3" t="s">
        <v>216</v>
      </c>
      <c r="F217" s="3" t="s">
        <v>177</v>
      </c>
      <c r="G217" s="3" t="s">
        <v>183</v>
      </c>
      <c r="H217" s="3" t="s">
        <v>173</v>
      </c>
      <c r="I217" s="3" t="s">
        <v>198</v>
      </c>
      <c r="J217" s="8">
        <v>3</v>
      </c>
    </row>
    <row r="218" spans="1:10" ht="27.6" thickBot="1" x14ac:dyDescent="0.35">
      <c r="A218" s="7" t="s">
        <v>260</v>
      </c>
      <c r="B218" s="4">
        <v>45433</v>
      </c>
      <c r="C218" s="3" t="s">
        <v>191</v>
      </c>
      <c r="D218" s="3" t="s">
        <v>169</v>
      </c>
      <c r="E218" s="3" t="s">
        <v>216</v>
      </c>
      <c r="F218" s="3" t="s">
        <v>182</v>
      </c>
      <c r="G218" s="3" t="s">
        <v>183</v>
      </c>
      <c r="H218" s="3" t="s">
        <v>197</v>
      </c>
      <c r="I218" s="3" t="s">
        <v>201</v>
      </c>
      <c r="J218" s="8">
        <v>5</v>
      </c>
    </row>
    <row r="219" spans="1:10" ht="27.6" thickBot="1" x14ac:dyDescent="0.35">
      <c r="A219" s="7" t="s">
        <v>261</v>
      </c>
      <c r="B219" s="4">
        <v>45367</v>
      </c>
      <c r="C219" s="3" t="s">
        <v>168</v>
      </c>
      <c r="D219" s="3" t="s">
        <v>187</v>
      </c>
      <c r="E219" s="3" t="s">
        <v>170</v>
      </c>
      <c r="F219" s="3" t="s">
        <v>177</v>
      </c>
      <c r="G219" s="3" t="s">
        <v>203</v>
      </c>
      <c r="H219" s="3" t="s">
        <v>197</v>
      </c>
      <c r="I219" s="3" t="s">
        <v>189</v>
      </c>
      <c r="J219" s="8">
        <v>2</v>
      </c>
    </row>
    <row r="220" spans="1:10" ht="27.6" thickBot="1" x14ac:dyDescent="0.35">
      <c r="A220" s="7" t="s">
        <v>262</v>
      </c>
      <c r="B220" s="4">
        <v>45317</v>
      </c>
      <c r="C220" s="3" t="s">
        <v>176</v>
      </c>
      <c r="D220" s="3" t="s">
        <v>187</v>
      </c>
      <c r="E220" s="3" t="s">
        <v>195</v>
      </c>
      <c r="F220" s="3" t="s">
        <v>177</v>
      </c>
      <c r="G220" s="3" t="s">
        <v>183</v>
      </c>
      <c r="H220" s="3" t="s">
        <v>184</v>
      </c>
      <c r="I220" s="3" t="s">
        <v>201</v>
      </c>
      <c r="J220" s="8">
        <v>4</v>
      </c>
    </row>
    <row r="221" spans="1:10" ht="27.6" thickBot="1" x14ac:dyDescent="0.35">
      <c r="A221" s="7" t="s">
        <v>263</v>
      </c>
      <c r="B221" s="4">
        <v>45426</v>
      </c>
      <c r="C221" s="3" t="s">
        <v>186</v>
      </c>
      <c r="D221" s="3" t="s">
        <v>169</v>
      </c>
      <c r="E221" s="3" t="s">
        <v>195</v>
      </c>
      <c r="F221" s="3" t="s">
        <v>196</v>
      </c>
      <c r="G221" s="3" t="s">
        <v>172</v>
      </c>
      <c r="H221" s="3" t="s">
        <v>184</v>
      </c>
      <c r="I221" s="3" t="s">
        <v>198</v>
      </c>
      <c r="J221" s="8">
        <v>2</v>
      </c>
    </row>
    <row r="222" spans="1:10" ht="27.6" thickBot="1" x14ac:dyDescent="0.35">
      <c r="A222" s="7" t="s">
        <v>264</v>
      </c>
      <c r="B222" s="4">
        <v>45423</v>
      </c>
      <c r="C222" s="3" t="s">
        <v>168</v>
      </c>
      <c r="D222" s="3" t="s">
        <v>192</v>
      </c>
      <c r="E222" s="3" t="s">
        <v>181</v>
      </c>
      <c r="F222" s="3" t="s">
        <v>177</v>
      </c>
      <c r="G222" s="3" t="s">
        <v>183</v>
      </c>
      <c r="H222" s="3" t="s">
        <v>184</v>
      </c>
      <c r="I222" s="3" t="s">
        <v>189</v>
      </c>
      <c r="J222" s="8">
        <v>5</v>
      </c>
    </row>
    <row r="223" spans="1:10" ht="15" thickBot="1" x14ac:dyDescent="0.35">
      <c r="A223" s="7" t="s">
        <v>265</v>
      </c>
      <c r="B223" s="4">
        <v>45355</v>
      </c>
      <c r="C223" s="3" t="s">
        <v>176</v>
      </c>
      <c r="D223" s="3" t="s">
        <v>187</v>
      </c>
      <c r="E223" s="3" t="s">
        <v>207</v>
      </c>
      <c r="F223" s="3" t="s">
        <v>177</v>
      </c>
      <c r="G223" s="3" t="s">
        <v>178</v>
      </c>
      <c r="H223" s="3" t="s">
        <v>197</v>
      </c>
      <c r="I223" s="3" t="s">
        <v>201</v>
      </c>
      <c r="J223" s="8">
        <v>5</v>
      </c>
    </row>
    <row r="224" spans="1:10" ht="27.6" thickBot="1" x14ac:dyDescent="0.35">
      <c r="A224" s="7" t="s">
        <v>266</v>
      </c>
      <c r="B224" s="4">
        <v>45453</v>
      </c>
      <c r="C224" s="3" t="s">
        <v>215</v>
      </c>
      <c r="D224" s="3" t="s">
        <v>192</v>
      </c>
      <c r="E224" s="3" t="s">
        <v>170</v>
      </c>
      <c r="F224" s="3" t="s">
        <v>171</v>
      </c>
      <c r="G224" s="3" t="s">
        <v>183</v>
      </c>
      <c r="H224" s="3" t="s">
        <v>208</v>
      </c>
      <c r="I224" s="3" t="s">
        <v>189</v>
      </c>
      <c r="J224" s="8">
        <v>1</v>
      </c>
    </row>
    <row r="225" spans="1:10" ht="27.6" thickBot="1" x14ac:dyDescent="0.35">
      <c r="A225" s="7" t="s">
        <v>267</v>
      </c>
      <c r="B225" s="4">
        <v>45301</v>
      </c>
      <c r="C225" s="3" t="s">
        <v>221</v>
      </c>
      <c r="D225" s="3" t="s">
        <v>169</v>
      </c>
      <c r="E225" s="3" t="s">
        <v>216</v>
      </c>
      <c r="F225" s="3" t="s">
        <v>196</v>
      </c>
      <c r="G225" s="3" t="s">
        <v>183</v>
      </c>
      <c r="H225" s="3" t="s">
        <v>208</v>
      </c>
      <c r="I225" s="3" t="s">
        <v>201</v>
      </c>
      <c r="J225" s="8">
        <v>4</v>
      </c>
    </row>
    <row r="226" spans="1:10" ht="27.6" thickBot="1" x14ac:dyDescent="0.35">
      <c r="A226" s="7" t="s">
        <v>268</v>
      </c>
      <c r="B226" s="4">
        <v>45360</v>
      </c>
      <c r="C226" s="3" t="s">
        <v>186</v>
      </c>
      <c r="D226" s="3" t="s">
        <v>212</v>
      </c>
      <c r="E226" s="3" t="s">
        <v>170</v>
      </c>
      <c r="F226" s="3" t="s">
        <v>182</v>
      </c>
      <c r="G226" s="3" t="s">
        <v>172</v>
      </c>
      <c r="H226" s="3" t="s">
        <v>197</v>
      </c>
      <c r="I226" s="3" t="s">
        <v>179</v>
      </c>
      <c r="J226" s="8">
        <v>1</v>
      </c>
    </row>
    <row r="227" spans="1:10" ht="27.6" thickBot="1" x14ac:dyDescent="0.35">
      <c r="A227" s="7" t="s">
        <v>269</v>
      </c>
      <c r="B227" s="4">
        <v>45367</v>
      </c>
      <c r="C227" s="3" t="s">
        <v>206</v>
      </c>
      <c r="D227" s="3" t="s">
        <v>169</v>
      </c>
      <c r="E227" s="3" t="s">
        <v>207</v>
      </c>
      <c r="F227" s="3" t="s">
        <v>182</v>
      </c>
      <c r="G227" s="3" t="s">
        <v>203</v>
      </c>
      <c r="H227" s="3" t="s">
        <v>197</v>
      </c>
      <c r="I227" s="3" t="s">
        <v>174</v>
      </c>
      <c r="J227" s="8">
        <v>2</v>
      </c>
    </row>
    <row r="228" spans="1:10" ht="15" thickBot="1" x14ac:dyDescent="0.35">
      <c r="A228" s="7" t="s">
        <v>270</v>
      </c>
      <c r="B228" s="4">
        <v>45337</v>
      </c>
      <c r="C228" s="3" t="s">
        <v>191</v>
      </c>
      <c r="D228" s="3" t="s">
        <v>187</v>
      </c>
      <c r="E228" s="3" t="s">
        <v>181</v>
      </c>
      <c r="F228" s="3" t="s">
        <v>171</v>
      </c>
      <c r="G228" s="3" t="s">
        <v>203</v>
      </c>
      <c r="H228" s="3" t="s">
        <v>184</v>
      </c>
      <c r="I228" s="3" t="s">
        <v>201</v>
      </c>
      <c r="J228" s="8">
        <v>1</v>
      </c>
    </row>
    <row r="229" spans="1:10" ht="27.6" thickBot="1" x14ac:dyDescent="0.35">
      <c r="A229" s="7" t="s">
        <v>271</v>
      </c>
      <c r="B229" s="4">
        <v>45417</v>
      </c>
      <c r="C229" s="3" t="s">
        <v>191</v>
      </c>
      <c r="D229" s="3" t="s">
        <v>169</v>
      </c>
      <c r="E229" s="3" t="s">
        <v>181</v>
      </c>
      <c r="F229" s="3" t="s">
        <v>182</v>
      </c>
      <c r="G229" s="3" t="s">
        <v>178</v>
      </c>
      <c r="H229" s="3" t="s">
        <v>173</v>
      </c>
      <c r="I229" s="3" t="s">
        <v>198</v>
      </c>
      <c r="J229" s="8">
        <v>3</v>
      </c>
    </row>
    <row r="230" spans="1:10" ht="27.6" thickBot="1" x14ac:dyDescent="0.35">
      <c r="A230" s="7" t="s">
        <v>272</v>
      </c>
      <c r="B230" s="4">
        <v>45408</v>
      </c>
      <c r="C230" s="3" t="s">
        <v>176</v>
      </c>
      <c r="D230" s="3" t="s">
        <v>192</v>
      </c>
      <c r="E230" s="3" t="s">
        <v>207</v>
      </c>
      <c r="F230" s="3" t="s">
        <v>196</v>
      </c>
      <c r="G230" s="3" t="s">
        <v>183</v>
      </c>
      <c r="H230" s="3" t="s">
        <v>173</v>
      </c>
      <c r="I230" s="3" t="s">
        <v>174</v>
      </c>
      <c r="J230" s="8">
        <v>0</v>
      </c>
    </row>
    <row r="231" spans="1:10" ht="15" thickBot="1" x14ac:dyDescent="0.35">
      <c r="A231" s="7" t="s">
        <v>273</v>
      </c>
      <c r="B231" s="4">
        <v>45302</v>
      </c>
      <c r="C231" s="3" t="s">
        <v>221</v>
      </c>
      <c r="D231" s="3" t="s">
        <v>192</v>
      </c>
      <c r="E231" s="3" t="s">
        <v>181</v>
      </c>
      <c r="F231" s="3" t="s">
        <v>177</v>
      </c>
      <c r="G231" s="3" t="s">
        <v>178</v>
      </c>
      <c r="H231" s="3" t="s">
        <v>197</v>
      </c>
      <c r="I231" s="3" t="s">
        <v>201</v>
      </c>
      <c r="J231" s="8">
        <v>4</v>
      </c>
    </row>
    <row r="232" spans="1:10" ht="27.6" thickBot="1" x14ac:dyDescent="0.35">
      <c r="A232" s="7" t="s">
        <v>274</v>
      </c>
      <c r="B232" s="4">
        <v>45430</v>
      </c>
      <c r="C232" s="3" t="s">
        <v>215</v>
      </c>
      <c r="D232" s="3" t="s">
        <v>210</v>
      </c>
      <c r="E232" s="3" t="s">
        <v>195</v>
      </c>
      <c r="F232" s="3" t="s">
        <v>171</v>
      </c>
      <c r="G232" s="3" t="s">
        <v>172</v>
      </c>
      <c r="H232" s="3" t="s">
        <v>197</v>
      </c>
      <c r="I232" s="3" t="s">
        <v>174</v>
      </c>
      <c r="J232" s="8">
        <v>2</v>
      </c>
    </row>
    <row r="233" spans="1:10" ht="27.6" thickBot="1" x14ac:dyDescent="0.35">
      <c r="A233" s="7" t="s">
        <v>275</v>
      </c>
      <c r="B233" s="4">
        <v>45448</v>
      </c>
      <c r="C233" s="3" t="s">
        <v>176</v>
      </c>
      <c r="D233" s="3" t="s">
        <v>192</v>
      </c>
      <c r="E233" s="3" t="s">
        <v>216</v>
      </c>
      <c r="F233" s="3" t="s">
        <v>196</v>
      </c>
      <c r="G233" s="3" t="s">
        <v>172</v>
      </c>
      <c r="H233" s="3" t="s">
        <v>208</v>
      </c>
      <c r="I233" s="3" t="s">
        <v>198</v>
      </c>
      <c r="J233" s="8">
        <v>4</v>
      </c>
    </row>
    <row r="234" spans="1:10" ht="15" thickBot="1" x14ac:dyDescent="0.35">
      <c r="A234" s="7" t="s">
        <v>276</v>
      </c>
      <c r="B234" s="4">
        <v>45352</v>
      </c>
      <c r="C234" s="3" t="s">
        <v>191</v>
      </c>
      <c r="D234" s="3" t="s">
        <v>192</v>
      </c>
      <c r="E234" s="3" t="s">
        <v>207</v>
      </c>
      <c r="F234" s="3" t="s">
        <v>182</v>
      </c>
      <c r="G234" s="3" t="s">
        <v>172</v>
      </c>
      <c r="H234" s="3" t="s">
        <v>197</v>
      </c>
      <c r="I234" s="3" t="s">
        <v>193</v>
      </c>
      <c r="J234" s="8">
        <v>1</v>
      </c>
    </row>
    <row r="235" spans="1:10" ht="27.6" thickBot="1" x14ac:dyDescent="0.35">
      <c r="A235" s="7" t="s">
        <v>277</v>
      </c>
      <c r="B235" s="4">
        <v>45460</v>
      </c>
      <c r="C235" s="3" t="s">
        <v>191</v>
      </c>
      <c r="D235" s="3" t="s">
        <v>192</v>
      </c>
      <c r="E235" s="3" t="s">
        <v>195</v>
      </c>
      <c r="F235" s="3" t="s">
        <v>171</v>
      </c>
      <c r="G235" s="3" t="s">
        <v>203</v>
      </c>
      <c r="H235" s="3" t="s">
        <v>184</v>
      </c>
      <c r="I235" s="3" t="s">
        <v>198</v>
      </c>
      <c r="J235" s="8">
        <v>3</v>
      </c>
    </row>
    <row r="236" spans="1:10" ht="27.6" thickBot="1" x14ac:dyDescent="0.35">
      <c r="A236" s="7" t="s">
        <v>278</v>
      </c>
      <c r="B236" s="4">
        <v>45399</v>
      </c>
      <c r="C236" s="3" t="s">
        <v>221</v>
      </c>
      <c r="D236" s="3" t="s">
        <v>212</v>
      </c>
      <c r="E236" s="3" t="s">
        <v>216</v>
      </c>
      <c r="F236" s="3" t="s">
        <v>196</v>
      </c>
      <c r="G236" s="3" t="s">
        <v>178</v>
      </c>
      <c r="H236" s="3" t="s">
        <v>173</v>
      </c>
      <c r="I236" s="3" t="s">
        <v>179</v>
      </c>
      <c r="J236" s="8">
        <v>4</v>
      </c>
    </row>
    <row r="237" spans="1:10" ht="15" thickBot="1" x14ac:dyDescent="0.35">
      <c r="A237" s="7" t="s">
        <v>279</v>
      </c>
      <c r="B237" s="4">
        <v>45437</v>
      </c>
      <c r="C237" s="3" t="s">
        <v>191</v>
      </c>
      <c r="D237" s="3" t="s">
        <v>210</v>
      </c>
      <c r="E237" s="3" t="s">
        <v>188</v>
      </c>
      <c r="F237" s="3" t="s">
        <v>196</v>
      </c>
      <c r="G237" s="3" t="s">
        <v>172</v>
      </c>
      <c r="H237" s="3" t="s">
        <v>184</v>
      </c>
      <c r="I237" s="3" t="s">
        <v>193</v>
      </c>
      <c r="J237" s="8">
        <v>4</v>
      </c>
    </row>
    <row r="238" spans="1:10" ht="27.6" thickBot="1" x14ac:dyDescent="0.35">
      <c r="A238" s="7" t="s">
        <v>280</v>
      </c>
      <c r="B238" s="4">
        <v>45330</v>
      </c>
      <c r="C238" s="3" t="s">
        <v>215</v>
      </c>
      <c r="D238" s="3" t="s">
        <v>210</v>
      </c>
      <c r="E238" s="3" t="s">
        <v>188</v>
      </c>
      <c r="F238" s="3" t="s">
        <v>171</v>
      </c>
      <c r="G238" s="3" t="s">
        <v>183</v>
      </c>
      <c r="H238" s="3" t="s">
        <v>197</v>
      </c>
      <c r="I238" s="3" t="s">
        <v>189</v>
      </c>
      <c r="J238" s="8">
        <v>2</v>
      </c>
    </row>
    <row r="239" spans="1:10" ht="27.6" thickBot="1" x14ac:dyDescent="0.35">
      <c r="A239" s="7" t="s">
        <v>281</v>
      </c>
      <c r="B239" s="4">
        <v>45382</v>
      </c>
      <c r="C239" s="3" t="s">
        <v>215</v>
      </c>
      <c r="D239" s="3" t="s">
        <v>212</v>
      </c>
      <c r="E239" s="3" t="s">
        <v>195</v>
      </c>
      <c r="F239" s="3" t="s">
        <v>171</v>
      </c>
      <c r="G239" s="3" t="s">
        <v>178</v>
      </c>
      <c r="H239" s="3" t="s">
        <v>184</v>
      </c>
      <c r="I239" s="3" t="s">
        <v>174</v>
      </c>
      <c r="J239" s="8">
        <v>0</v>
      </c>
    </row>
    <row r="240" spans="1:10" ht="27.6" thickBot="1" x14ac:dyDescent="0.35">
      <c r="A240" s="7" t="s">
        <v>282</v>
      </c>
      <c r="B240" s="4">
        <v>45329</v>
      </c>
      <c r="C240" s="3" t="s">
        <v>176</v>
      </c>
      <c r="D240" s="3" t="s">
        <v>187</v>
      </c>
      <c r="E240" s="3" t="s">
        <v>216</v>
      </c>
      <c r="F240" s="3" t="s">
        <v>171</v>
      </c>
      <c r="G240" s="3" t="s">
        <v>203</v>
      </c>
      <c r="H240" s="3" t="s">
        <v>197</v>
      </c>
      <c r="I240" s="3" t="s">
        <v>174</v>
      </c>
      <c r="J240" s="8">
        <v>5</v>
      </c>
    </row>
    <row r="241" spans="1:10" ht="27.6" thickBot="1" x14ac:dyDescent="0.35">
      <c r="A241" s="7" t="s">
        <v>283</v>
      </c>
      <c r="B241" s="4">
        <v>45375</v>
      </c>
      <c r="C241" s="3" t="s">
        <v>206</v>
      </c>
      <c r="D241" s="3" t="s">
        <v>169</v>
      </c>
      <c r="E241" s="3" t="s">
        <v>170</v>
      </c>
      <c r="F241" s="3" t="s">
        <v>196</v>
      </c>
      <c r="G241" s="3" t="s">
        <v>172</v>
      </c>
      <c r="H241" s="3" t="s">
        <v>197</v>
      </c>
      <c r="I241" s="3" t="s">
        <v>179</v>
      </c>
      <c r="J241" s="8">
        <v>4</v>
      </c>
    </row>
    <row r="242" spans="1:10" ht="27.6" thickBot="1" x14ac:dyDescent="0.35">
      <c r="A242" s="7" t="s">
        <v>284</v>
      </c>
      <c r="B242" s="4">
        <v>45320</v>
      </c>
      <c r="C242" s="3" t="s">
        <v>200</v>
      </c>
      <c r="D242" s="3" t="s">
        <v>187</v>
      </c>
      <c r="E242" s="3" t="s">
        <v>195</v>
      </c>
      <c r="F242" s="3" t="s">
        <v>171</v>
      </c>
      <c r="G242" s="3" t="s">
        <v>172</v>
      </c>
      <c r="H242" s="3" t="s">
        <v>208</v>
      </c>
      <c r="I242" s="3" t="s">
        <v>179</v>
      </c>
      <c r="J242" s="8">
        <v>0</v>
      </c>
    </row>
    <row r="243" spans="1:10" ht="27.6" thickBot="1" x14ac:dyDescent="0.35">
      <c r="A243" s="7" t="s">
        <v>285</v>
      </c>
      <c r="B243" s="4">
        <v>45404</v>
      </c>
      <c r="C243" s="3" t="s">
        <v>206</v>
      </c>
      <c r="D243" s="3" t="s">
        <v>187</v>
      </c>
      <c r="E243" s="3" t="s">
        <v>216</v>
      </c>
      <c r="F243" s="3" t="s">
        <v>182</v>
      </c>
      <c r="G243" s="3" t="s">
        <v>203</v>
      </c>
      <c r="H243" s="3" t="s">
        <v>184</v>
      </c>
      <c r="I243" s="3" t="s">
        <v>174</v>
      </c>
      <c r="J243" s="8">
        <v>3</v>
      </c>
    </row>
    <row r="244" spans="1:10" ht="15" thickBot="1" x14ac:dyDescent="0.35">
      <c r="A244" s="7" t="s">
        <v>286</v>
      </c>
      <c r="B244" s="4">
        <v>45424</v>
      </c>
      <c r="C244" s="3" t="s">
        <v>176</v>
      </c>
      <c r="D244" s="3" t="s">
        <v>210</v>
      </c>
      <c r="E244" s="3" t="s">
        <v>207</v>
      </c>
      <c r="F244" s="3" t="s">
        <v>182</v>
      </c>
      <c r="G244" s="3" t="s">
        <v>178</v>
      </c>
      <c r="H244" s="3" t="s">
        <v>173</v>
      </c>
      <c r="I244" s="3" t="s">
        <v>193</v>
      </c>
      <c r="J244" s="8">
        <v>4</v>
      </c>
    </row>
    <row r="245" spans="1:10" ht="27.6" thickBot="1" x14ac:dyDescent="0.35">
      <c r="A245" s="7" t="s">
        <v>287</v>
      </c>
      <c r="B245" s="4">
        <v>45319</v>
      </c>
      <c r="C245" s="3" t="s">
        <v>186</v>
      </c>
      <c r="D245" s="3" t="s">
        <v>169</v>
      </c>
      <c r="E245" s="3" t="s">
        <v>207</v>
      </c>
      <c r="F245" s="3" t="s">
        <v>196</v>
      </c>
      <c r="G245" s="3" t="s">
        <v>183</v>
      </c>
      <c r="H245" s="3" t="s">
        <v>208</v>
      </c>
      <c r="I245" s="3" t="s">
        <v>189</v>
      </c>
      <c r="J245" s="8">
        <v>2</v>
      </c>
    </row>
    <row r="246" spans="1:10" ht="15" thickBot="1" x14ac:dyDescent="0.35">
      <c r="A246" s="7" t="s">
        <v>288</v>
      </c>
      <c r="B246" s="4">
        <v>45308</v>
      </c>
      <c r="C246" s="3" t="s">
        <v>200</v>
      </c>
      <c r="D246" s="3" t="s">
        <v>192</v>
      </c>
      <c r="E246" s="3" t="s">
        <v>188</v>
      </c>
      <c r="F246" s="3" t="s">
        <v>177</v>
      </c>
      <c r="G246" s="3" t="s">
        <v>203</v>
      </c>
      <c r="H246" s="3" t="s">
        <v>208</v>
      </c>
      <c r="I246" s="3" t="s">
        <v>201</v>
      </c>
      <c r="J246" s="8">
        <v>3</v>
      </c>
    </row>
    <row r="247" spans="1:10" ht="27.6" thickBot="1" x14ac:dyDescent="0.35">
      <c r="A247" s="7" t="s">
        <v>289</v>
      </c>
      <c r="B247" s="4">
        <v>45302</v>
      </c>
      <c r="C247" s="3" t="s">
        <v>221</v>
      </c>
      <c r="D247" s="3" t="s">
        <v>192</v>
      </c>
      <c r="E247" s="3" t="s">
        <v>195</v>
      </c>
      <c r="F247" s="3" t="s">
        <v>171</v>
      </c>
      <c r="G247" s="3" t="s">
        <v>172</v>
      </c>
      <c r="H247" s="3" t="s">
        <v>208</v>
      </c>
      <c r="I247" s="3" t="s">
        <v>198</v>
      </c>
      <c r="J247" s="8">
        <v>2</v>
      </c>
    </row>
    <row r="248" spans="1:10" ht="27.6" thickBot="1" x14ac:dyDescent="0.35">
      <c r="A248" s="7" t="s">
        <v>290</v>
      </c>
      <c r="B248" s="4">
        <v>45457</v>
      </c>
      <c r="C248" s="3" t="s">
        <v>206</v>
      </c>
      <c r="D248" s="3" t="s">
        <v>192</v>
      </c>
      <c r="E248" s="3" t="s">
        <v>207</v>
      </c>
      <c r="F248" s="3" t="s">
        <v>182</v>
      </c>
      <c r="G248" s="3" t="s">
        <v>203</v>
      </c>
      <c r="H248" s="3" t="s">
        <v>173</v>
      </c>
      <c r="I248" s="3" t="s">
        <v>189</v>
      </c>
      <c r="J248" s="8">
        <v>1</v>
      </c>
    </row>
    <row r="249" spans="1:10" ht="15" thickBot="1" x14ac:dyDescent="0.35">
      <c r="A249" s="7" t="s">
        <v>291</v>
      </c>
      <c r="B249" s="4">
        <v>45373</v>
      </c>
      <c r="C249" s="3" t="s">
        <v>168</v>
      </c>
      <c r="D249" s="3" t="s">
        <v>210</v>
      </c>
      <c r="E249" s="3" t="s">
        <v>181</v>
      </c>
      <c r="F249" s="3" t="s">
        <v>182</v>
      </c>
      <c r="G249" s="3" t="s">
        <v>172</v>
      </c>
      <c r="H249" s="3" t="s">
        <v>173</v>
      </c>
      <c r="I249" s="3" t="s">
        <v>193</v>
      </c>
      <c r="J249" s="8">
        <v>2</v>
      </c>
    </row>
    <row r="250" spans="1:10" ht="15" thickBot="1" x14ac:dyDescent="0.35">
      <c r="A250" s="7" t="s">
        <v>292</v>
      </c>
      <c r="B250" s="4">
        <v>45445</v>
      </c>
      <c r="C250" s="3" t="s">
        <v>215</v>
      </c>
      <c r="D250" s="3" t="s">
        <v>210</v>
      </c>
      <c r="E250" s="3" t="s">
        <v>170</v>
      </c>
      <c r="F250" s="3" t="s">
        <v>177</v>
      </c>
      <c r="G250" s="3" t="s">
        <v>172</v>
      </c>
      <c r="H250" s="3" t="s">
        <v>197</v>
      </c>
      <c r="I250" s="3" t="s">
        <v>201</v>
      </c>
      <c r="J250" s="8">
        <v>0</v>
      </c>
    </row>
    <row r="251" spans="1:10" ht="27.6" thickBot="1" x14ac:dyDescent="0.35">
      <c r="A251" s="7" t="s">
        <v>293</v>
      </c>
      <c r="B251" s="4">
        <v>45294</v>
      </c>
      <c r="C251" s="3" t="s">
        <v>176</v>
      </c>
      <c r="D251" s="3" t="s">
        <v>187</v>
      </c>
      <c r="E251" s="3" t="s">
        <v>195</v>
      </c>
      <c r="F251" s="3" t="s">
        <v>171</v>
      </c>
      <c r="G251" s="3" t="s">
        <v>172</v>
      </c>
      <c r="H251" s="3" t="s">
        <v>208</v>
      </c>
      <c r="I251" s="3" t="s">
        <v>174</v>
      </c>
      <c r="J251" s="8">
        <v>1</v>
      </c>
    </row>
    <row r="252" spans="1:10" ht="27.6" thickBot="1" x14ac:dyDescent="0.35">
      <c r="A252" s="7" t="s">
        <v>294</v>
      </c>
      <c r="B252" s="4">
        <v>45458</v>
      </c>
      <c r="C252" s="3" t="s">
        <v>221</v>
      </c>
      <c r="D252" s="3" t="s">
        <v>212</v>
      </c>
      <c r="E252" s="3" t="s">
        <v>170</v>
      </c>
      <c r="F252" s="3" t="s">
        <v>177</v>
      </c>
      <c r="G252" s="3" t="s">
        <v>183</v>
      </c>
      <c r="H252" s="3" t="s">
        <v>184</v>
      </c>
      <c r="I252" s="3" t="s">
        <v>201</v>
      </c>
      <c r="J252" s="8">
        <v>4</v>
      </c>
    </row>
    <row r="253" spans="1:10" ht="27.6" thickBot="1" x14ac:dyDescent="0.35">
      <c r="A253" s="7" t="s">
        <v>295</v>
      </c>
      <c r="B253" s="4">
        <v>45369</v>
      </c>
      <c r="C253" s="3" t="s">
        <v>168</v>
      </c>
      <c r="D253" s="3" t="s">
        <v>187</v>
      </c>
      <c r="E253" s="3" t="s">
        <v>216</v>
      </c>
      <c r="F253" s="3" t="s">
        <v>171</v>
      </c>
      <c r="G253" s="3" t="s">
        <v>178</v>
      </c>
      <c r="H253" s="3" t="s">
        <v>184</v>
      </c>
      <c r="I253" s="3" t="s">
        <v>179</v>
      </c>
      <c r="J253" s="8">
        <v>1</v>
      </c>
    </row>
    <row r="254" spans="1:10" ht="27.6" thickBot="1" x14ac:dyDescent="0.35">
      <c r="A254" s="7" t="s">
        <v>296</v>
      </c>
      <c r="B254" s="4">
        <v>45389</v>
      </c>
      <c r="C254" s="3" t="s">
        <v>186</v>
      </c>
      <c r="D254" s="3" t="s">
        <v>212</v>
      </c>
      <c r="E254" s="3" t="s">
        <v>207</v>
      </c>
      <c r="F254" s="3" t="s">
        <v>177</v>
      </c>
      <c r="G254" s="3" t="s">
        <v>203</v>
      </c>
      <c r="H254" s="3" t="s">
        <v>208</v>
      </c>
      <c r="I254" s="3" t="s">
        <v>179</v>
      </c>
      <c r="J254" s="8">
        <v>5</v>
      </c>
    </row>
    <row r="255" spans="1:10" ht="27.6" thickBot="1" x14ac:dyDescent="0.35">
      <c r="A255" s="7" t="s">
        <v>297</v>
      </c>
      <c r="B255" s="4">
        <v>45456</v>
      </c>
      <c r="C255" s="3" t="s">
        <v>221</v>
      </c>
      <c r="D255" s="3" t="s">
        <v>192</v>
      </c>
      <c r="E255" s="3" t="s">
        <v>181</v>
      </c>
      <c r="F255" s="3" t="s">
        <v>171</v>
      </c>
      <c r="G255" s="3" t="s">
        <v>178</v>
      </c>
      <c r="H255" s="3" t="s">
        <v>184</v>
      </c>
      <c r="I255" s="3" t="s">
        <v>179</v>
      </c>
      <c r="J255" s="8">
        <v>0</v>
      </c>
    </row>
    <row r="256" spans="1:10" ht="27.6" thickBot="1" x14ac:dyDescent="0.35">
      <c r="A256" s="7" t="s">
        <v>298</v>
      </c>
      <c r="B256" s="4">
        <v>45342</v>
      </c>
      <c r="C256" s="3" t="s">
        <v>176</v>
      </c>
      <c r="D256" s="3" t="s">
        <v>187</v>
      </c>
      <c r="E256" s="3" t="s">
        <v>181</v>
      </c>
      <c r="F256" s="3" t="s">
        <v>171</v>
      </c>
      <c r="G256" s="3" t="s">
        <v>178</v>
      </c>
      <c r="H256" s="3" t="s">
        <v>197</v>
      </c>
      <c r="I256" s="3" t="s">
        <v>198</v>
      </c>
      <c r="J256" s="8">
        <v>3</v>
      </c>
    </row>
    <row r="257" spans="1:268" ht="27.6" thickBot="1" x14ac:dyDescent="0.35">
      <c r="A257" s="7" t="s">
        <v>299</v>
      </c>
      <c r="B257" s="4">
        <v>45313</v>
      </c>
      <c r="C257" s="3" t="s">
        <v>191</v>
      </c>
      <c r="D257" s="3" t="s">
        <v>192</v>
      </c>
      <c r="E257" s="3" t="s">
        <v>195</v>
      </c>
      <c r="F257" s="3" t="s">
        <v>171</v>
      </c>
      <c r="G257" s="3" t="s">
        <v>183</v>
      </c>
      <c r="H257" s="3" t="s">
        <v>197</v>
      </c>
      <c r="I257" s="3" t="s">
        <v>198</v>
      </c>
      <c r="J257" s="8">
        <v>5</v>
      </c>
    </row>
    <row r="258" spans="1:268" ht="27.6" thickBot="1" x14ac:dyDescent="0.35">
      <c r="A258" s="7" t="s">
        <v>300</v>
      </c>
      <c r="B258" s="4">
        <v>45403</v>
      </c>
      <c r="C258" s="3" t="s">
        <v>200</v>
      </c>
      <c r="D258" s="3" t="s">
        <v>210</v>
      </c>
      <c r="E258" s="3" t="s">
        <v>188</v>
      </c>
      <c r="F258" s="3" t="s">
        <v>182</v>
      </c>
      <c r="G258" s="3" t="s">
        <v>178</v>
      </c>
      <c r="H258" s="3" t="s">
        <v>184</v>
      </c>
      <c r="I258" s="3" t="s">
        <v>198</v>
      </c>
      <c r="J258" s="8">
        <v>3</v>
      </c>
    </row>
    <row r="259" spans="1:268" ht="15" thickBot="1" x14ac:dyDescent="0.35">
      <c r="A259" s="7" t="s">
        <v>301</v>
      </c>
      <c r="B259" s="4">
        <v>45390</v>
      </c>
      <c r="C259" s="3" t="s">
        <v>200</v>
      </c>
      <c r="D259" s="3" t="s">
        <v>212</v>
      </c>
      <c r="E259" s="3" t="s">
        <v>207</v>
      </c>
      <c r="F259" s="3" t="s">
        <v>182</v>
      </c>
      <c r="G259" s="3" t="s">
        <v>203</v>
      </c>
      <c r="H259" s="3" t="s">
        <v>208</v>
      </c>
      <c r="I259" s="3" t="s">
        <v>201</v>
      </c>
      <c r="J259" s="8">
        <v>0</v>
      </c>
    </row>
    <row r="260" spans="1:268" ht="27.6" thickBot="1" x14ac:dyDescent="0.35">
      <c r="A260" s="7" t="s">
        <v>302</v>
      </c>
      <c r="B260" s="4">
        <v>45464</v>
      </c>
      <c r="C260" s="3" t="s">
        <v>221</v>
      </c>
      <c r="D260" s="3" t="s">
        <v>169</v>
      </c>
      <c r="E260" s="3" t="s">
        <v>170</v>
      </c>
      <c r="F260" s="3" t="s">
        <v>171</v>
      </c>
      <c r="G260" s="3" t="s">
        <v>203</v>
      </c>
      <c r="H260" s="3" t="s">
        <v>197</v>
      </c>
      <c r="I260" s="3" t="s">
        <v>198</v>
      </c>
      <c r="J260" s="8">
        <v>4</v>
      </c>
    </row>
    <row r="261" spans="1:268" ht="27" x14ac:dyDescent="0.3">
      <c r="A261" s="12" t="s">
        <v>303</v>
      </c>
      <c r="B261" s="13">
        <v>45317</v>
      </c>
      <c r="C261" s="14" t="s">
        <v>206</v>
      </c>
      <c r="D261" s="14" t="s">
        <v>212</v>
      </c>
      <c r="E261" s="14" t="s">
        <v>207</v>
      </c>
      <c r="F261" s="14" t="s">
        <v>182</v>
      </c>
      <c r="G261" s="14" t="s">
        <v>178</v>
      </c>
      <c r="H261" s="14" t="s">
        <v>208</v>
      </c>
      <c r="I261" s="14" t="s">
        <v>174</v>
      </c>
      <c r="J261" s="15">
        <v>2</v>
      </c>
    </row>
    <row r="263" spans="1:268" x14ac:dyDescent="0.3">
      <c r="A263" t="s">
        <v>309</v>
      </c>
    </row>
    <row r="264" spans="1:268" x14ac:dyDescent="0.3">
      <c r="A264" t="s">
        <v>311</v>
      </c>
    </row>
    <row r="265" spans="1:268" x14ac:dyDescent="0.3">
      <c r="A265" t="s">
        <v>310</v>
      </c>
    </row>
    <row r="267" spans="1:268" x14ac:dyDescent="0.3">
      <c r="A267" t="s">
        <v>312</v>
      </c>
      <c r="B267" t="s">
        <v>313</v>
      </c>
      <c r="C267" t="s">
        <v>314</v>
      </c>
    </row>
    <row r="268" spans="1:268" x14ac:dyDescent="0.3">
      <c r="A268">
        <v>1</v>
      </c>
      <c r="B268" t="s">
        <v>315</v>
      </c>
      <c r="C268">
        <v>18</v>
      </c>
      <c r="JH268" s="17"/>
    </row>
    <row r="269" spans="1:268" x14ac:dyDescent="0.3">
      <c r="A269">
        <v>2</v>
      </c>
      <c r="B269" t="s">
        <v>316</v>
      </c>
      <c r="C269" s="18">
        <v>55</v>
      </c>
      <c r="JH269" s="17"/>
    </row>
    <row r="270" spans="1:268" x14ac:dyDescent="0.3">
      <c r="A270">
        <v>3</v>
      </c>
      <c r="B270" t="s">
        <v>317</v>
      </c>
      <c r="C270" s="16">
        <v>6</v>
      </c>
      <c r="JH270" s="17"/>
    </row>
    <row r="271" spans="1:268" x14ac:dyDescent="0.3">
      <c r="A271">
        <v>4</v>
      </c>
      <c r="B271" t="s">
        <v>318</v>
      </c>
      <c r="C271" s="16">
        <v>9</v>
      </c>
      <c r="JH271" s="17"/>
    </row>
    <row r="272" spans="1:268" x14ac:dyDescent="0.3">
      <c r="A272">
        <v>5</v>
      </c>
      <c r="B272" t="s">
        <v>319</v>
      </c>
      <c r="C272" s="18">
        <v>70</v>
      </c>
      <c r="JH272" s="17"/>
    </row>
    <row r="273" spans="1:268" x14ac:dyDescent="0.3">
      <c r="A273">
        <v>6</v>
      </c>
      <c r="B273" t="s">
        <v>320</v>
      </c>
      <c r="C273" s="18">
        <v>60</v>
      </c>
      <c r="JH273" s="17"/>
    </row>
    <row r="274" spans="1:268" x14ac:dyDescent="0.3">
      <c r="A274">
        <v>7</v>
      </c>
      <c r="B274" t="s">
        <v>321</v>
      </c>
      <c r="C274" s="16">
        <v>4</v>
      </c>
      <c r="JH274" s="17"/>
    </row>
    <row r="275" spans="1:268" x14ac:dyDescent="0.3">
      <c r="A275">
        <v>8</v>
      </c>
      <c r="B275" t="s">
        <v>322</v>
      </c>
      <c r="C275">
        <v>44</v>
      </c>
      <c r="JH275" s="17"/>
    </row>
    <row r="276" spans="1:268" x14ac:dyDescent="0.3">
      <c r="A276">
        <v>9</v>
      </c>
      <c r="B276" t="s">
        <v>323</v>
      </c>
      <c r="C276" s="18">
        <v>78</v>
      </c>
      <c r="JH276" s="17"/>
    </row>
    <row r="277" spans="1:268" x14ac:dyDescent="0.3">
      <c r="A277">
        <v>10</v>
      </c>
      <c r="B277" t="s">
        <v>324</v>
      </c>
      <c r="C277" s="16">
        <v>3</v>
      </c>
      <c r="JH277" s="17"/>
    </row>
    <row r="279" spans="1:268" x14ac:dyDescent="0.3">
      <c r="A279" t="s">
        <v>325</v>
      </c>
    </row>
    <row r="280" spans="1:268" x14ac:dyDescent="0.3">
      <c r="A280" t="s">
        <v>326</v>
      </c>
    </row>
    <row r="281" spans="1:268" x14ac:dyDescent="0.3">
      <c r="A281" t="s">
        <v>327</v>
      </c>
    </row>
    <row r="282" spans="1:268" x14ac:dyDescent="0.3">
      <c r="A282" t="s">
        <v>328</v>
      </c>
    </row>
    <row r="283" spans="1:268" ht="15" thickBot="1" x14ac:dyDescent="0.35"/>
    <row r="284" spans="1:268" ht="58.2" thickBot="1" x14ac:dyDescent="0.35">
      <c r="A284" s="24" t="s">
        <v>329</v>
      </c>
      <c r="B284" s="25" t="s">
        <v>158</v>
      </c>
      <c r="C284" s="25" t="s">
        <v>330</v>
      </c>
      <c r="D284" s="25" t="s">
        <v>331</v>
      </c>
      <c r="E284" s="25" t="s">
        <v>332</v>
      </c>
      <c r="F284" s="25" t="s">
        <v>333</v>
      </c>
      <c r="G284" s="25" t="s">
        <v>334</v>
      </c>
      <c r="H284" s="25" t="s">
        <v>335</v>
      </c>
      <c r="I284" s="25" t="s">
        <v>336</v>
      </c>
      <c r="J284" s="25" t="s">
        <v>337</v>
      </c>
      <c r="K284" s="25" t="s">
        <v>338</v>
      </c>
      <c r="L284" s="25" t="s">
        <v>339</v>
      </c>
      <c r="M284" s="22" t="s">
        <v>445</v>
      </c>
      <c r="N284" s="29" t="s">
        <v>446</v>
      </c>
      <c r="O284" s="19"/>
      <c r="P284" s="19"/>
      <c r="Q284" s="19"/>
      <c r="R284" s="19"/>
      <c r="S284" s="19"/>
      <c r="T284" s="19"/>
      <c r="U284" s="19"/>
      <c r="V284" s="19"/>
      <c r="W284" s="19"/>
      <c r="X284" s="19"/>
      <c r="Y284" s="19"/>
      <c r="Z284" s="19"/>
    </row>
    <row r="285" spans="1:268" ht="15" thickBot="1" x14ac:dyDescent="0.35">
      <c r="A285" s="20">
        <v>1001</v>
      </c>
      <c r="B285" s="21">
        <v>45658</v>
      </c>
      <c r="C285" s="19" t="s">
        <v>340</v>
      </c>
      <c r="D285" s="19" t="s">
        <v>341</v>
      </c>
      <c r="E285" s="19" t="s">
        <v>342</v>
      </c>
      <c r="F285" s="19" t="s">
        <v>351</v>
      </c>
      <c r="G285" s="20">
        <v>10</v>
      </c>
      <c r="H285" s="20">
        <v>999</v>
      </c>
      <c r="I285" s="20">
        <v>999</v>
      </c>
      <c r="J285" s="20">
        <v>998001</v>
      </c>
      <c r="K285" s="20">
        <v>28</v>
      </c>
      <c r="L285" s="19" t="s">
        <v>343</v>
      </c>
      <c r="M285" s="23" t="s">
        <v>380</v>
      </c>
      <c r="N285" s="19">
        <f>VLOOKUP(M285,F285:H333,3,0)</f>
        <v>1499</v>
      </c>
      <c r="O285" s="19"/>
      <c r="P285" s="19"/>
      <c r="Q285" s="19"/>
      <c r="R285" s="19"/>
      <c r="S285" s="19"/>
      <c r="T285" s="19"/>
      <c r="U285" s="19"/>
      <c r="V285" s="19"/>
      <c r="W285" s="19"/>
      <c r="X285" s="19"/>
      <c r="Y285" s="19"/>
      <c r="Z285" s="19"/>
    </row>
    <row r="286" spans="1:268" ht="15" thickBot="1" x14ac:dyDescent="0.35">
      <c r="A286" s="20">
        <v>1003</v>
      </c>
      <c r="B286" s="21">
        <v>45660</v>
      </c>
      <c r="C286" s="19" t="s">
        <v>344</v>
      </c>
      <c r="D286" s="19" t="s">
        <v>345</v>
      </c>
      <c r="E286" s="19" t="s">
        <v>346</v>
      </c>
      <c r="F286" s="19" t="s">
        <v>347</v>
      </c>
      <c r="G286" s="20">
        <v>3</v>
      </c>
      <c r="H286" s="20">
        <v>1999</v>
      </c>
      <c r="I286" s="20">
        <v>5997</v>
      </c>
      <c r="J286" s="20">
        <v>25</v>
      </c>
      <c r="K286" s="20">
        <v>40</v>
      </c>
      <c r="L286" s="19" t="s">
        <v>348</v>
      </c>
      <c r="M286" s="23"/>
      <c r="N286" s="19"/>
      <c r="O286" s="19"/>
      <c r="P286" s="19"/>
      <c r="Q286" s="19"/>
      <c r="R286" s="19"/>
      <c r="S286" s="19"/>
      <c r="T286" s="19"/>
      <c r="U286" s="19"/>
      <c r="V286" s="19"/>
      <c r="W286" s="19"/>
      <c r="X286" s="19"/>
      <c r="Y286" s="19"/>
      <c r="Z286" s="19"/>
    </row>
    <row r="287" spans="1:268" ht="15" thickBot="1" x14ac:dyDescent="0.35">
      <c r="A287" s="20">
        <v>1004</v>
      </c>
      <c r="B287" s="21">
        <v>45661</v>
      </c>
      <c r="C287" s="19" t="s">
        <v>349</v>
      </c>
      <c r="D287" s="19" t="s">
        <v>350</v>
      </c>
      <c r="E287" s="19" t="s">
        <v>342</v>
      </c>
      <c r="F287" s="19" t="s">
        <v>351</v>
      </c>
      <c r="G287" s="20">
        <v>6</v>
      </c>
      <c r="H287" s="20">
        <v>2499</v>
      </c>
      <c r="I287" s="20">
        <v>9996</v>
      </c>
      <c r="J287" s="20">
        <v>30</v>
      </c>
      <c r="K287" s="20">
        <v>24</v>
      </c>
      <c r="L287" s="19" t="s">
        <v>352</v>
      </c>
      <c r="M287" s="23"/>
      <c r="N287" s="19"/>
      <c r="O287" s="19"/>
      <c r="P287" s="19"/>
      <c r="Q287" s="19"/>
      <c r="R287" s="19"/>
      <c r="S287" s="19"/>
      <c r="T287" s="19"/>
      <c r="U287" s="19"/>
      <c r="V287" s="19"/>
      <c r="W287" s="19"/>
      <c r="X287" s="19"/>
      <c r="Y287" s="19"/>
      <c r="Z287" s="19"/>
    </row>
    <row r="288" spans="1:268" ht="15" thickBot="1" x14ac:dyDescent="0.35">
      <c r="A288" s="20">
        <v>1005</v>
      </c>
      <c r="B288" s="21">
        <v>45662</v>
      </c>
      <c r="C288" s="19" t="s">
        <v>353</v>
      </c>
      <c r="D288" s="19" t="s">
        <v>341</v>
      </c>
      <c r="E288" s="19" t="s">
        <v>354</v>
      </c>
      <c r="F288" s="19" t="s">
        <v>355</v>
      </c>
      <c r="G288" s="20">
        <v>8</v>
      </c>
      <c r="H288" s="20">
        <v>2999</v>
      </c>
      <c r="I288" s="20">
        <v>14995</v>
      </c>
      <c r="J288" s="20">
        <v>18</v>
      </c>
      <c r="K288" s="20">
        <v>31</v>
      </c>
      <c r="L288" s="19" t="s">
        <v>343</v>
      </c>
      <c r="M288" s="23"/>
      <c r="N288" s="19"/>
      <c r="O288" s="19"/>
      <c r="P288" s="19"/>
      <c r="Q288" s="19"/>
      <c r="R288" s="19"/>
      <c r="S288" s="19"/>
      <c r="T288" s="19"/>
      <c r="U288" s="19"/>
      <c r="V288" s="19"/>
      <c r="W288" s="19"/>
      <c r="X288" s="19"/>
      <c r="Y288" s="19"/>
      <c r="Z288" s="19"/>
    </row>
    <row r="289" spans="1:26" ht="15" thickBot="1" x14ac:dyDescent="0.35">
      <c r="A289" s="20">
        <v>1006</v>
      </c>
      <c r="B289" s="21">
        <v>45663</v>
      </c>
      <c r="C289" s="19" t="s">
        <v>356</v>
      </c>
      <c r="D289" s="19" t="s">
        <v>357</v>
      </c>
      <c r="E289" s="19" t="s">
        <v>346</v>
      </c>
      <c r="F289" s="19" t="s">
        <v>318</v>
      </c>
      <c r="G289" s="20">
        <v>3</v>
      </c>
      <c r="H289" s="20">
        <v>999</v>
      </c>
      <c r="I289" s="20">
        <v>4995</v>
      </c>
      <c r="J289" s="20">
        <v>15</v>
      </c>
      <c r="K289" s="20">
        <v>29</v>
      </c>
      <c r="L289" s="19" t="s">
        <v>358</v>
      </c>
      <c r="M289" s="23"/>
      <c r="N289" s="19"/>
      <c r="O289" s="19"/>
      <c r="P289" s="19"/>
      <c r="Q289" s="19"/>
      <c r="R289" s="19"/>
      <c r="S289" s="19"/>
      <c r="T289" s="19"/>
      <c r="U289" s="19"/>
      <c r="V289" s="19"/>
      <c r="W289" s="19"/>
      <c r="X289" s="19"/>
      <c r="Y289" s="19"/>
      <c r="Z289" s="19"/>
    </row>
    <row r="290" spans="1:26" ht="15" thickBot="1" x14ac:dyDescent="0.35">
      <c r="A290" s="20">
        <v>1007</v>
      </c>
      <c r="B290" s="21">
        <v>45664</v>
      </c>
      <c r="C290" s="19" t="s">
        <v>359</v>
      </c>
      <c r="D290" s="19" t="s">
        <v>345</v>
      </c>
      <c r="E290" s="19" t="s">
        <v>342</v>
      </c>
      <c r="F290" s="19" t="s">
        <v>360</v>
      </c>
      <c r="G290" s="20">
        <v>9</v>
      </c>
      <c r="H290" s="20">
        <v>1499</v>
      </c>
      <c r="I290" s="20">
        <v>2998</v>
      </c>
      <c r="J290" s="20">
        <v>20</v>
      </c>
      <c r="K290" s="20">
        <v>45</v>
      </c>
      <c r="L290" s="19" t="s">
        <v>348</v>
      </c>
      <c r="M290" s="23"/>
      <c r="N290" s="19"/>
      <c r="O290" s="19"/>
      <c r="P290" s="19"/>
      <c r="Q290" s="19"/>
      <c r="R290" s="19"/>
      <c r="S290" s="19"/>
      <c r="T290" s="19"/>
      <c r="U290" s="19"/>
      <c r="V290" s="19"/>
      <c r="W290" s="19"/>
      <c r="X290" s="19"/>
      <c r="Y290" s="19"/>
      <c r="Z290" s="19"/>
    </row>
    <row r="291" spans="1:26" ht="15" thickBot="1" x14ac:dyDescent="0.35">
      <c r="A291" s="20">
        <v>1008</v>
      </c>
      <c r="B291" s="21">
        <v>45665</v>
      </c>
      <c r="C291" s="19" t="s">
        <v>361</v>
      </c>
      <c r="D291" s="19" t="s">
        <v>350</v>
      </c>
      <c r="E291" s="19" t="s">
        <v>354</v>
      </c>
      <c r="F291" s="19" t="s">
        <v>362</v>
      </c>
      <c r="G291" s="20">
        <v>5</v>
      </c>
      <c r="H291" s="20">
        <v>1999</v>
      </c>
      <c r="I291" s="20">
        <v>5997</v>
      </c>
      <c r="J291" s="20">
        <v>25</v>
      </c>
      <c r="K291" s="20">
        <v>32</v>
      </c>
      <c r="L291" s="19" t="s">
        <v>352</v>
      </c>
      <c r="M291" s="23"/>
      <c r="N291" s="19"/>
      <c r="O291" s="19"/>
      <c r="P291" s="19"/>
      <c r="Q291" s="19"/>
      <c r="R291" s="19"/>
      <c r="S291" s="19"/>
      <c r="T291" s="19"/>
      <c r="U291" s="19"/>
      <c r="V291" s="19"/>
      <c r="W291" s="19"/>
      <c r="X291" s="19"/>
      <c r="Y291" s="19"/>
      <c r="Z291" s="19"/>
    </row>
    <row r="292" spans="1:26" ht="15" thickBot="1" x14ac:dyDescent="0.35">
      <c r="A292" s="20">
        <v>1009</v>
      </c>
      <c r="B292" s="21">
        <v>45666</v>
      </c>
      <c r="C292" s="19" t="s">
        <v>363</v>
      </c>
      <c r="D292" s="19" t="s">
        <v>341</v>
      </c>
      <c r="E292" s="19" t="s">
        <v>346</v>
      </c>
      <c r="F292" s="19" t="s">
        <v>364</v>
      </c>
      <c r="G292" s="20">
        <v>2</v>
      </c>
      <c r="H292" s="20">
        <v>2499</v>
      </c>
      <c r="I292" s="20">
        <v>19992</v>
      </c>
      <c r="J292" s="20">
        <v>30</v>
      </c>
      <c r="K292" s="20">
        <v>27</v>
      </c>
      <c r="L292" s="19" t="s">
        <v>343</v>
      </c>
      <c r="M292" s="23"/>
      <c r="N292" s="19"/>
      <c r="O292" s="19"/>
      <c r="P292" s="19"/>
      <c r="Q292" s="19"/>
      <c r="R292" s="19"/>
      <c r="S292" s="19"/>
      <c r="T292" s="19"/>
      <c r="U292" s="19"/>
      <c r="V292" s="19"/>
      <c r="W292" s="19"/>
      <c r="X292" s="19"/>
      <c r="Y292" s="19"/>
      <c r="Z292" s="19"/>
    </row>
    <row r="293" spans="1:26" ht="15" thickBot="1" x14ac:dyDescent="0.35">
      <c r="A293" s="20">
        <v>10010</v>
      </c>
      <c r="B293" s="21">
        <v>45667</v>
      </c>
      <c r="C293" s="19" t="s">
        <v>365</v>
      </c>
      <c r="D293" s="19" t="s">
        <v>357</v>
      </c>
      <c r="E293" s="19" t="s">
        <v>342</v>
      </c>
      <c r="F293" s="19" t="s">
        <v>366</v>
      </c>
      <c r="G293" s="20">
        <v>7</v>
      </c>
      <c r="H293" s="20">
        <v>2999</v>
      </c>
      <c r="I293" s="20">
        <v>14995</v>
      </c>
      <c r="J293" s="20">
        <v>18</v>
      </c>
      <c r="K293" s="20">
        <v>39</v>
      </c>
      <c r="L293" s="19" t="s">
        <v>358</v>
      </c>
      <c r="M293" s="23"/>
      <c r="N293" s="19"/>
      <c r="O293" s="19"/>
      <c r="P293" s="19"/>
      <c r="Q293" s="19"/>
      <c r="R293" s="19"/>
      <c r="S293" s="19"/>
      <c r="T293" s="19"/>
      <c r="U293" s="19"/>
      <c r="V293" s="19"/>
      <c r="W293" s="19"/>
      <c r="X293" s="19"/>
      <c r="Y293" s="19"/>
      <c r="Z293" s="19"/>
    </row>
    <row r="294" spans="1:26" ht="15" thickBot="1" x14ac:dyDescent="0.35">
      <c r="A294" s="20">
        <v>10011</v>
      </c>
      <c r="B294" s="21">
        <v>45668</v>
      </c>
      <c r="C294" s="19" t="s">
        <v>367</v>
      </c>
      <c r="D294" s="19" t="s">
        <v>345</v>
      </c>
      <c r="E294" s="19" t="s">
        <v>354</v>
      </c>
      <c r="F294" s="19" t="s">
        <v>368</v>
      </c>
      <c r="G294" s="20">
        <v>10</v>
      </c>
      <c r="H294" s="20">
        <v>999</v>
      </c>
      <c r="I294" s="20">
        <v>999</v>
      </c>
      <c r="J294" s="20">
        <v>15</v>
      </c>
      <c r="K294" s="20">
        <v>28</v>
      </c>
      <c r="L294" s="19" t="s">
        <v>348</v>
      </c>
      <c r="M294" s="23"/>
      <c r="N294" s="19"/>
      <c r="O294" s="19"/>
      <c r="P294" s="19"/>
      <c r="Q294" s="19"/>
      <c r="R294" s="19"/>
      <c r="S294" s="19"/>
      <c r="T294" s="19"/>
      <c r="U294" s="19"/>
      <c r="V294" s="19"/>
      <c r="W294" s="19"/>
      <c r="X294" s="19"/>
      <c r="Y294" s="19"/>
      <c r="Z294" s="19"/>
    </row>
    <row r="295" spans="1:26" ht="15" thickBot="1" x14ac:dyDescent="0.35">
      <c r="A295" s="20">
        <v>10012</v>
      </c>
      <c r="B295" s="21">
        <v>45669</v>
      </c>
      <c r="C295" s="19" t="s">
        <v>369</v>
      </c>
      <c r="D295" s="19" t="s">
        <v>350</v>
      </c>
      <c r="E295" s="19" t="s">
        <v>346</v>
      </c>
      <c r="F295" s="19" t="s">
        <v>370</v>
      </c>
      <c r="G295" s="20">
        <v>3</v>
      </c>
      <c r="H295" s="20">
        <v>1499</v>
      </c>
      <c r="I295" s="20">
        <v>11992</v>
      </c>
      <c r="J295" s="20">
        <v>20</v>
      </c>
      <c r="K295" s="20">
        <v>35</v>
      </c>
      <c r="L295" s="19" t="s">
        <v>352</v>
      </c>
      <c r="M295" s="23"/>
      <c r="N295" s="19"/>
      <c r="O295" s="19"/>
      <c r="P295" s="19"/>
      <c r="Q295" s="19"/>
      <c r="R295" s="19"/>
      <c r="S295" s="19"/>
      <c r="T295" s="19"/>
      <c r="U295" s="19"/>
      <c r="V295" s="19"/>
      <c r="W295" s="19"/>
      <c r="X295" s="19"/>
      <c r="Y295" s="19"/>
      <c r="Z295" s="19"/>
    </row>
    <row r="296" spans="1:26" ht="15" thickBot="1" x14ac:dyDescent="0.35">
      <c r="A296" s="20">
        <v>10013</v>
      </c>
      <c r="B296" s="21">
        <v>45670</v>
      </c>
      <c r="C296" s="19" t="s">
        <v>371</v>
      </c>
      <c r="D296" s="19" t="s">
        <v>341</v>
      </c>
      <c r="E296" s="19" t="s">
        <v>342</v>
      </c>
      <c r="F296" s="19" t="s">
        <v>372</v>
      </c>
      <c r="G296" s="20">
        <v>3</v>
      </c>
      <c r="H296" s="20">
        <v>1999</v>
      </c>
      <c r="I296" s="20">
        <v>5997</v>
      </c>
      <c r="J296" s="20">
        <v>25</v>
      </c>
      <c r="K296" s="20">
        <v>40</v>
      </c>
      <c r="L296" s="19" t="s">
        <v>343</v>
      </c>
      <c r="M296" s="23"/>
      <c r="N296" s="19"/>
      <c r="O296" s="19"/>
      <c r="P296" s="19"/>
      <c r="Q296" s="19"/>
      <c r="R296" s="19"/>
      <c r="S296" s="19"/>
      <c r="T296" s="19"/>
      <c r="U296" s="19"/>
      <c r="V296" s="19"/>
      <c r="W296" s="19"/>
      <c r="X296" s="19"/>
      <c r="Y296" s="19"/>
      <c r="Z296" s="19"/>
    </row>
    <row r="297" spans="1:26" ht="15" thickBot="1" x14ac:dyDescent="0.35">
      <c r="A297" s="20">
        <v>10014</v>
      </c>
      <c r="B297" s="21">
        <v>45671</v>
      </c>
      <c r="C297" s="19" t="s">
        <v>373</v>
      </c>
      <c r="D297" s="19" t="s">
        <v>357</v>
      </c>
      <c r="E297" s="19" t="s">
        <v>354</v>
      </c>
      <c r="F297" s="19" t="s">
        <v>374</v>
      </c>
      <c r="G297" s="20">
        <v>6</v>
      </c>
      <c r="H297" s="20">
        <v>2499</v>
      </c>
      <c r="I297" s="20">
        <v>9996</v>
      </c>
      <c r="J297" s="20">
        <v>30</v>
      </c>
      <c r="K297" s="20">
        <v>24</v>
      </c>
      <c r="L297" s="19" t="s">
        <v>358</v>
      </c>
      <c r="M297" s="23"/>
      <c r="N297" s="19"/>
      <c r="O297" s="19"/>
      <c r="P297" s="19"/>
      <c r="Q297" s="19"/>
      <c r="R297" s="19"/>
      <c r="S297" s="19"/>
      <c r="T297" s="19"/>
      <c r="U297" s="19"/>
      <c r="V297" s="19"/>
      <c r="W297" s="19"/>
      <c r="X297" s="19"/>
      <c r="Y297" s="19"/>
      <c r="Z297" s="19"/>
    </row>
    <row r="298" spans="1:26" ht="15" thickBot="1" x14ac:dyDescent="0.35">
      <c r="A298" s="20">
        <v>10015</v>
      </c>
      <c r="B298" s="21">
        <v>45672</v>
      </c>
      <c r="C298" s="19" t="s">
        <v>375</v>
      </c>
      <c r="D298" s="19" t="s">
        <v>345</v>
      </c>
      <c r="E298" s="19" t="s">
        <v>346</v>
      </c>
      <c r="F298" s="19" t="s">
        <v>376</v>
      </c>
      <c r="G298" s="20">
        <v>6</v>
      </c>
      <c r="H298" s="20">
        <v>2999</v>
      </c>
      <c r="I298" s="20">
        <v>14995</v>
      </c>
      <c r="J298" s="20">
        <v>18</v>
      </c>
      <c r="K298" s="20">
        <v>31</v>
      </c>
      <c r="L298" s="19" t="s">
        <v>348</v>
      </c>
      <c r="M298" s="23"/>
      <c r="N298" s="19"/>
      <c r="O298" s="19"/>
      <c r="P298" s="19"/>
      <c r="Q298" s="19"/>
      <c r="R298" s="19"/>
      <c r="S298" s="19"/>
      <c r="T298" s="19"/>
      <c r="U298" s="19"/>
      <c r="V298" s="19"/>
      <c r="W298" s="19"/>
      <c r="X298" s="19"/>
      <c r="Y298" s="19"/>
      <c r="Z298" s="19"/>
    </row>
    <row r="299" spans="1:26" ht="15" thickBot="1" x14ac:dyDescent="0.35">
      <c r="A299" s="20">
        <v>10016</v>
      </c>
      <c r="B299" s="21">
        <v>45673</v>
      </c>
      <c r="C299" s="19" t="s">
        <v>377</v>
      </c>
      <c r="D299" s="19" t="s">
        <v>350</v>
      </c>
      <c r="E299" s="19" t="s">
        <v>342</v>
      </c>
      <c r="F299" s="19" t="s">
        <v>378</v>
      </c>
      <c r="G299" s="20">
        <v>10</v>
      </c>
      <c r="H299" s="20">
        <v>999</v>
      </c>
      <c r="I299" s="20">
        <v>5994</v>
      </c>
      <c r="J299" s="20">
        <v>15</v>
      </c>
      <c r="K299" s="20">
        <v>29</v>
      </c>
      <c r="L299" s="19" t="s">
        <v>352</v>
      </c>
      <c r="M299" s="23"/>
      <c r="N299" s="19"/>
      <c r="O299" s="19"/>
      <c r="P299" s="19"/>
      <c r="Q299" s="19"/>
      <c r="R299" s="19"/>
      <c r="S299" s="19"/>
      <c r="T299" s="19"/>
      <c r="U299" s="19"/>
      <c r="V299" s="19"/>
      <c r="W299" s="19"/>
      <c r="X299" s="19"/>
      <c r="Y299" s="19"/>
      <c r="Z299" s="19"/>
    </row>
    <row r="300" spans="1:26" ht="15" thickBot="1" x14ac:dyDescent="0.35">
      <c r="A300" s="20">
        <v>10017</v>
      </c>
      <c r="B300" s="21">
        <v>45674</v>
      </c>
      <c r="C300" s="19" t="s">
        <v>379</v>
      </c>
      <c r="D300" s="19" t="s">
        <v>341</v>
      </c>
      <c r="E300" s="19" t="s">
        <v>354</v>
      </c>
      <c r="F300" s="19" t="s">
        <v>380</v>
      </c>
      <c r="G300" s="20">
        <v>4</v>
      </c>
      <c r="H300" s="20">
        <v>1499</v>
      </c>
      <c r="I300" s="20">
        <v>2998</v>
      </c>
      <c r="J300" s="20">
        <v>20</v>
      </c>
      <c r="K300" s="20">
        <v>45</v>
      </c>
      <c r="L300" s="19" t="s">
        <v>343</v>
      </c>
      <c r="M300" s="23"/>
      <c r="N300" s="19"/>
      <c r="O300" s="19"/>
      <c r="P300" s="19"/>
      <c r="Q300" s="19"/>
      <c r="R300" s="19"/>
      <c r="S300" s="19"/>
      <c r="T300" s="19"/>
      <c r="U300" s="19"/>
      <c r="V300" s="19"/>
      <c r="W300" s="19"/>
      <c r="X300" s="19"/>
      <c r="Y300" s="19"/>
      <c r="Z300" s="19"/>
    </row>
    <row r="301" spans="1:26" ht="15" thickBot="1" x14ac:dyDescent="0.35">
      <c r="A301" s="20">
        <v>10018</v>
      </c>
      <c r="B301" s="21">
        <v>45675</v>
      </c>
      <c r="C301" s="19" t="s">
        <v>381</v>
      </c>
      <c r="D301" s="19" t="s">
        <v>357</v>
      </c>
      <c r="E301" s="19" t="s">
        <v>346</v>
      </c>
      <c r="F301" s="19" t="s">
        <v>382</v>
      </c>
      <c r="G301" s="20">
        <v>5</v>
      </c>
      <c r="H301" s="20">
        <v>1999</v>
      </c>
      <c r="I301" s="20">
        <v>13993</v>
      </c>
      <c r="J301" s="20">
        <v>25</v>
      </c>
      <c r="K301" s="20">
        <v>32</v>
      </c>
      <c r="L301" s="19" t="s">
        <v>358</v>
      </c>
      <c r="M301" s="23"/>
      <c r="N301" s="19"/>
      <c r="O301" s="19"/>
      <c r="P301" s="19"/>
      <c r="Q301" s="19"/>
      <c r="R301" s="19"/>
      <c r="S301" s="19"/>
      <c r="T301" s="19"/>
      <c r="U301" s="19"/>
      <c r="V301" s="19"/>
      <c r="W301" s="19"/>
      <c r="X301" s="19"/>
      <c r="Y301" s="19"/>
      <c r="Z301" s="19"/>
    </row>
    <row r="302" spans="1:26" ht="15" thickBot="1" x14ac:dyDescent="0.35">
      <c r="A302" s="20">
        <v>10019</v>
      </c>
      <c r="B302" s="21">
        <v>45676</v>
      </c>
      <c r="C302" s="19" t="s">
        <v>383</v>
      </c>
      <c r="D302" s="19" t="s">
        <v>345</v>
      </c>
      <c r="E302" s="19" t="s">
        <v>342</v>
      </c>
      <c r="F302" s="19" t="s">
        <v>384</v>
      </c>
      <c r="G302" s="20">
        <v>7</v>
      </c>
      <c r="H302" s="20">
        <v>2499</v>
      </c>
      <c r="I302" s="20">
        <v>9996</v>
      </c>
      <c r="J302" s="20">
        <v>30</v>
      </c>
      <c r="K302" s="20">
        <v>27</v>
      </c>
      <c r="L302" s="19" t="s">
        <v>348</v>
      </c>
      <c r="M302" s="23"/>
      <c r="N302" s="19"/>
      <c r="O302" s="19"/>
      <c r="P302" s="19"/>
      <c r="Q302" s="19"/>
      <c r="R302" s="19"/>
      <c r="S302" s="19"/>
      <c r="T302" s="19"/>
      <c r="U302" s="19"/>
      <c r="V302" s="19"/>
      <c r="W302" s="19"/>
      <c r="X302" s="19"/>
      <c r="Y302" s="19"/>
      <c r="Z302" s="19"/>
    </row>
    <row r="303" spans="1:26" ht="15" thickBot="1" x14ac:dyDescent="0.35">
      <c r="A303" s="20">
        <v>10020</v>
      </c>
      <c r="B303" s="21">
        <v>45677</v>
      </c>
      <c r="C303" s="19" t="s">
        <v>385</v>
      </c>
      <c r="D303" s="19" t="s">
        <v>350</v>
      </c>
      <c r="E303" s="19" t="s">
        <v>354</v>
      </c>
      <c r="F303" s="19" t="s">
        <v>386</v>
      </c>
      <c r="G303" s="20">
        <v>6</v>
      </c>
      <c r="H303" s="20">
        <v>2999</v>
      </c>
      <c r="I303" s="20">
        <v>14995</v>
      </c>
      <c r="J303" s="20">
        <v>18</v>
      </c>
      <c r="K303" s="20">
        <v>39</v>
      </c>
      <c r="L303" s="19" t="s">
        <v>352</v>
      </c>
      <c r="M303" s="23"/>
      <c r="N303" s="19"/>
      <c r="O303" s="19"/>
      <c r="P303" s="19"/>
      <c r="Q303" s="19"/>
      <c r="R303" s="19"/>
      <c r="S303" s="19"/>
      <c r="T303" s="19"/>
      <c r="U303" s="19"/>
      <c r="V303" s="19"/>
      <c r="W303" s="19"/>
      <c r="X303" s="19"/>
      <c r="Y303" s="19"/>
      <c r="Z303" s="19"/>
    </row>
    <row r="304" spans="1:26" ht="15" thickBot="1" x14ac:dyDescent="0.35">
      <c r="A304" s="20">
        <v>10021</v>
      </c>
      <c r="B304" s="21">
        <v>45678</v>
      </c>
      <c r="C304" s="19" t="s">
        <v>387</v>
      </c>
      <c r="D304" s="19" t="s">
        <v>341</v>
      </c>
      <c r="E304" s="19" t="s">
        <v>346</v>
      </c>
      <c r="F304" s="19" t="s">
        <v>388</v>
      </c>
      <c r="G304" s="20">
        <v>7</v>
      </c>
      <c r="H304" s="20">
        <v>999</v>
      </c>
      <c r="I304" s="20">
        <v>999</v>
      </c>
      <c r="J304" s="20">
        <v>15</v>
      </c>
      <c r="K304" s="20">
        <v>28</v>
      </c>
      <c r="L304" s="19" t="s">
        <v>343</v>
      </c>
      <c r="M304" s="23"/>
      <c r="N304" s="19"/>
      <c r="O304" s="19"/>
      <c r="P304" s="19"/>
      <c r="Q304" s="19"/>
      <c r="R304" s="19"/>
      <c r="S304" s="19"/>
      <c r="T304" s="19"/>
      <c r="U304" s="19"/>
      <c r="V304" s="19"/>
      <c r="W304" s="19"/>
      <c r="X304" s="19"/>
      <c r="Y304" s="19"/>
      <c r="Z304" s="19"/>
    </row>
    <row r="305" spans="1:26" ht="15" thickBot="1" x14ac:dyDescent="0.35">
      <c r="A305" s="20">
        <v>10022</v>
      </c>
      <c r="B305" s="21">
        <v>45679</v>
      </c>
      <c r="C305" s="19" t="s">
        <v>389</v>
      </c>
      <c r="D305" s="19" t="s">
        <v>357</v>
      </c>
      <c r="E305" s="19" t="s">
        <v>342</v>
      </c>
      <c r="F305" s="19" t="s">
        <v>390</v>
      </c>
      <c r="G305" s="20">
        <v>3</v>
      </c>
      <c r="H305" s="20">
        <v>1499</v>
      </c>
      <c r="I305" s="20">
        <v>17988</v>
      </c>
      <c r="J305" s="20">
        <v>20</v>
      </c>
      <c r="K305" s="20">
        <v>35</v>
      </c>
      <c r="L305" s="19" t="s">
        <v>358</v>
      </c>
      <c r="M305" s="23"/>
      <c r="N305" s="19"/>
      <c r="O305" s="19"/>
      <c r="P305" s="19"/>
      <c r="Q305" s="19"/>
      <c r="R305" s="19"/>
      <c r="S305" s="19"/>
      <c r="T305" s="19"/>
      <c r="U305" s="19"/>
      <c r="V305" s="19"/>
      <c r="W305" s="19"/>
      <c r="X305" s="19"/>
      <c r="Y305" s="19"/>
      <c r="Z305" s="19"/>
    </row>
    <row r="306" spans="1:26" ht="15" thickBot="1" x14ac:dyDescent="0.35">
      <c r="A306" s="20">
        <v>10023</v>
      </c>
      <c r="B306" s="21">
        <v>45680</v>
      </c>
      <c r="C306" s="19" t="s">
        <v>391</v>
      </c>
      <c r="D306" s="19" t="s">
        <v>345</v>
      </c>
      <c r="E306" s="19" t="s">
        <v>354</v>
      </c>
      <c r="F306" s="19" t="s">
        <v>392</v>
      </c>
      <c r="G306" s="20">
        <v>4</v>
      </c>
      <c r="H306" s="20">
        <v>1999</v>
      </c>
      <c r="I306" s="20">
        <v>5997</v>
      </c>
      <c r="J306" s="20">
        <v>25</v>
      </c>
      <c r="K306" s="20">
        <v>40</v>
      </c>
      <c r="L306" s="19" t="s">
        <v>348</v>
      </c>
      <c r="M306" s="23"/>
      <c r="N306" s="19"/>
      <c r="O306" s="19"/>
      <c r="P306" s="19"/>
      <c r="Q306" s="19"/>
      <c r="R306" s="19"/>
      <c r="S306" s="19"/>
      <c r="T306" s="19"/>
      <c r="U306" s="19"/>
      <c r="V306" s="19"/>
      <c r="W306" s="19"/>
      <c r="X306" s="19"/>
      <c r="Y306" s="19"/>
      <c r="Z306" s="19"/>
    </row>
    <row r="307" spans="1:26" ht="15" thickBot="1" x14ac:dyDescent="0.35">
      <c r="A307" s="20">
        <v>10024</v>
      </c>
      <c r="B307" s="21">
        <v>45681</v>
      </c>
      <c r="C307" s="19" t="s">
        <v>393</v>
      </c>
      <c r="D307" s="19" t="s">
        <v>350</v>
      </c>
      <c r="E307" s="19" t="s">
        <v>346</v>
      </c>
      <c r="F307" s="19" t="s">
        <v>394</v>
      </c>
      <c r="G307" s="20">
        <v>10</v>
      </c>
      <c r="H307" s="20">
        <v>2499</v>
      </c>
      <c r="I307" s="20">
        <v>9996</v>
      </c>
      <c r="J307" s="20">
        <v>30</v>
      </c>
      <c r="K307" s="20">
        <v>24</v>
      </c>
      <c r="L307" s="19" t="s">
        <v>352</v>
      </c>
      <c r="M307" s="23"/>
      <c r="N307" s="19"/>
      <c r="O307" s="19"/>
      <c r="P307" s="19"/>
      <c r="Q307" s="19"/>
      <c r="R307" s="19"/>
      <c r="S307" s="19"/>
      <c r="T307" s="19"/>
      <c r="U307" s="19"/>
      <c r="V307" s="19"/>
      <c r="W307" s="19"/>
      <c r="X307" s="19"/>
      <c r="Y307" s="19"/>
      <c r="Z307" s="19"/>
    </row>
    <row r="308" spans="1:26" ht="15" thickBot="1" x14ac:dyDescent="0.35">
      <c r="A308" s="20">
        <v>10025</v>
      </c>
      <c r="B308" s="21">
        <v>45682</v>
      </c>
      <c r="C308" s="19" t="s">
        <v>395</v>
      </c>
      <c r="D308" s="19" t="s">
        <v>341</v>
      </c>
      <c r="E308" s="19" t="s">
        <v>342</v>
      </c>
      <c r="F308" s="19" t="s">
        <v>396</v>
      </c>
      <c r="G308" s="20">
        <v>8</v>
      </c>
      <c r="H308" s="20">
        <v>2999</v>
      </c>
      <c r="I308" s="20">
        <v>14995</v>
      </c>
      <c r="J308" s="20">
        <v>18</v>
      </c>
      <c r="K308" s="20">
        <v>31</v>
      </c>
      <c r="L308" s="19" t="s">
        <v>343</v>
      </c>
      <c r="M308" s="23"/>
      <c r="N308" s="19"/>
      <c r="O308" s="19"/>
      <c r="P308" s="19"/>
      <c r="Q308" s="19"/>
      <c r="R308" s="19"/>
      <c r="S308" s="19"/>
      <c r="T308" s="19"/>
      <c r="U308" s="19"/>
      <c r="V308" s="19"/>
      <c r="W308" s="19"/>
      <c r="X308" s="19"/>
      <c r="Y308" s="19"/>
      <c r="Z308" s="19"/>
    </row>
    <row r="309" spans="1:26" ht="15" thickBot="1" x14ac:dyDescent="0.35">
      <c r="A309" s="20">
        <v>10026</v>
      </c>
      <c r="B309" s="21">
        <v>45683</v>
      </c>
      <c r="C309" s="19" t="s">
        <v>397</v>
      </c>
      <c r="D309" s="19" t="s">
        <v>357</v>
      </c>
      <c r="E309" s="19" t="s">
        <v>354</v>
      </c>
      <c r="F309" s="19" t="s">
        <v>315</v>
      </c>
      <c r="G309" s="20">
        <v>4</v>
      </c>
      <c r="H309" s="20">
        <v>999</v>
      </c>
      <c r="I309" s="20">
        <v>2997</v>
      </c>
      <c r="J309" s="20">
        <v>15</v>
      </c>
      <c r="K309" s="20">
        <v>29</v>
      </c>
      <c r="L309" s="19" t="s">
        <v>358</v>
      </c>
      <c r="M309" s="23"/>
      <c r="N309" s="19"/>
      <c r="O309" s="19"/>
      <c r="P309" s="19"/>
      <c r="Q309" s="19"/>
      <c r="R309" s="19"/>
      <c r="S309" s="19"/>
      <c r="T309" s="19"/>
      <c r="U309" s="19"/>
      <c r="V309" s="19"/>
      <c r="W309" s="19"/>
      <c r="X309" s="19"/>
      <c r="Y309" s="19"/>
      <c r="Z309" s="19"/>
    </row>
    <row r="310" spans="1:26" ht="15" thickBot="1" x14ac:dyDescent="0.35">
      <c r="A310" s="20">
        <v>10027</v>
      </c>
      <c r="B310" s="21">
        <v>45684</v>
      </c>
      <c r="C310" s="19" t="s">
        <v>398</v>
      </c>
      <c r="D310" s="19" t="s">
        <v>345</v>
      </c>
      <c r="E310" s="19" t="s">
        <v>346</v>
      </c>
      <c r="F310" s="19" t="s">
        <v>399</v>
      </c>
      <c r="G310" s="20">
        <v>3</v>
      </c>
      <c r="H310" s="20">
        <v>1499</v>
      </c>
      <c r="I310" s="20">
        <v>2998</v>
      </c>
      <c r="J310" s="20">
        <v>20</v>
      </c>
      <c r="K310" s="20">
        <v>45</v>
      </c>
      <c r="L310" s="19" t="s">
        <v>348</v>
      </c>
      <c r="M310" s="23"/>
      <c r="N310" s="19"/>
      <c r="O310" s="19"/>
      <c r="P310" s="19"/>
      <c r="Q310" s="19"/>
      <c r="R310" s="19"/>
      <c r="S310" s="19"/>
      <c r="T310" s="19"/>
      <c r="U310" s="19"/>
      <c r="V310" s="19"/>
      <c r="W310" s="19"/>
      <c r="X310" s="19"/>
      <c r="Y310" s="19"/>
      <c r="Z310" s="19"/>
    </row>
    <row r="311" spans="1:26" ht="15" thickBot="1" x14ac:dyDescent="0.35">
      <c r="A311" s="20">
        <v>10028</v>
      </c>
      <c r="B311" s="21">
        <v>45685</v>
      </c>
      <c r="C311" s="19" t="s">
        <v>400</v>
      </c>
      <c r="D311" s="19" t="s">
        <v>350</v>
      </c>
      <c r="E311" s="19" t="s">
        <v>342</v>
      </c>
      <c r="F311" s="19" t="s">
        <v>401</v>
      </c>
      <c r="G311" s="20">
        <v>6</v>
      </c>
      <c r="H311" s="20">
        <v>1999</v>
      </c>
      <c r="I311" s="20">
        <v>5997</v>
      </c>
      <c r="J311" s="20">
        <v>25</v>
      </c>
      <c r="K311" s="20">
        <v>32</v>
      </c>
      <c r="L311" s="19" t="s">
        <v>352</v>
      </c>
      <c r="M311" s="23"/>
      <c r="N311" s="19"/>
      <c r="O311" s="19"/>
      <c r="P311" s="19"/>
      <c r="Q311" s="19"/>
      <c r="R311" s="19"/>
      <c r="S311" s="19"/>
      <c r="T311" s="19"/>
      <c r="U311" s="19"/>
      <c r="V311" s="19"/>
      <c r="W311" s="19"/>
      <c r="X311" s="19"/>
      <c r="Y311" s="19"/>
      <c r="Z311" s="19"/>
    </row>
    <row r="312" spans="1:26" ht="15" thickBot="1" x14ac:dyDescent="0.35">
      <c r="A312" s="20">
        <v>10029</v>
      </c>
      <c r="B312" s="21">
        <v>45686</v>
      </c>
      <c r="C312" s="19" t="s">
        <v>402</v>
      </c>
      <c r="D312" s="19" t="s">
        <v>341</v>
      </c>
      <c r="E312" s="19" t="s">
        <v>354</v>
      </c>
      <c r="F312" s="19" t="s">
        <v>403</v>
      </c>
      <c r="G312" s="20">
        <v>7</v>
      </c>
      <c r="H312" s="20">
        <v>2499</v>
      </c>
      <c r="I312" s="20">
        <v>9996</v>
      </c>
      <c r="J312" s="20">
        <v>30</v>
      </c>
      <c r="K312" s="20">
        <v>27</v>
      </c>
      <c r="L312" s="19" t="s">
        <v>343</v>
      </c>
      <c r="M312" s="23"/>
      <c r="N312" s="19"/>
      <c r="O312" s="19"/>
      <c r="P312" s="19"/>
      <c r="Q312" s="19"/>
      <c r="R312" s="19"/>
      <c r="S312" s="19"/>
      <c r="T312" s="19"/>
      <c r="U312" s="19"/>
      <c r="V312" s="19"/>
      <c r="W312" s="19"/>
      <c r="X312" s="19"/>
      <c r="Y312" s="19"/>
      <c r="Z312" s="19"/>
    </row>
    <row r="313" spans="1:26" ht="15" thickBot="1" x14ac:dyDescent="0.35">
      <c r="A313" s="20">
        <v>10030</v>
      </c>
      <c r="B313" s="21">
        <v>45687</v>
      </c>
      <c r="C313" s="19" t="s">
        <v>404</v>
      </c>
      <c r="D313" s="19" t="s">
        <v>357</v>
      </c>
      <c r="E313" s="19" t="s">
        <v>346</v>
      </c>
      <c r="F313" s="19" t="s">
        <v>405</v>
      </c>
      <c r="G313" s="20">
        <v>6</v>
      </c>
      <c r="H313" s="20">
        <v>2999</v>
      </c>
      <c r="I313" s="20">
        <v>26991</v>
      </c>
      <c r="J313" s="20">
        <v>18</v>
      </c>
      <c r="K313" s="20">
        <v>39</v>
      </c>
      <c r="L313" s="19" t="s">
        <v>358</v>
      </c>
      <c r="M313" s="23"/>
      <c r="N313" s="19"/>
      <c r="O313" s="19"/>
      <c r="P313" s="19"/>
      <c r="Q313" s="19"/>
      <c r="R313" s="19"/>
      <c r="S313" s="19"/>
      <c r="T313" s="19"/>
      <c r="U313" s="19"/>
      <c r="V313" s="19"/>
      <c r="W313" s="19"/>
      <c r="X313" s="19"/>
      <c r="Y313" s="19"/>
      <c r="Z313" s="19"/>
    </row>
    <row r="314" spans="1:26" ht="15" thickBot="1" x14ac:dyDescent="0.35">
      <c r="A314" s="20">
        <v>10031</v>
      </c>
      <c r="B314" s="21">
        <v>45688</v>
      </c>
      <c r="C314" s="19" t="s">
        <v>406</v>
      </c>
      <c r="D314" s="19" t="s">
        <v>345</v>
      </c>
      <c r="E314" s="19" t="s">
        <v>342</v>
      </c>
      <c r="F314" s="19" t="s">
        <v>407</v>
      </c>
      <c r="G314" s="20">
        <v>3</v>
      </c>
      <c r="H314" s="20">
        <v>999</v>
      </c>
      <c r="I314" s="20">
        <v>999</v>
      </c>
      <c r="J314" s="20">
        <v>15</v>
      </c>
      <c r="K314" s="20">
        <v>28</v>
      </c>
      <c r="L314" s="19" t="s">
        <v>348</v>
      </c>
      <c r="M314" s="23"/>
      <c r="N314" s="19"/>
      <c r="O314" s="19"/>
      <c r="P314" s="19"/>
      <c r="Q314" s="19"/>
      <c r="R314" s="19"/>
      <c r="S314" s="19"/>
      <c r="T314" s="19"/>
      <c r="U314" s="19"/>
      <c r="V314" s="19"/>
      <c r="W314" s="19"/>
      <c r="X314" s="19"/>
      <c r="Y314" s="19"/>
      <c r="Z314" s="19"/>
    </row>
    <row r="315" spans="1:26" ht="15" thickBot="1" x14ac:dyDescent="0.35">
      <c r="A315" s="20">
        <v>10032</v>
      </c>
      <c r="B315" s="21">
        <v>45689</v>
      </c>
      <c r="C315" s="19" t="s">
        <v>408</v>
      </c>
      <c r="D315" s="19" t="s">
        <v>350</v>
      </c>
      <c r="E315" s="19" t="s">
        <v>354</v>
      </c>
      <c r="F315" s="19" t="s">
        <v>409</v>
      </c>
      <c r="G315" s="20">
        <v>3</v>
      </c>
      <c r="H315" s="20">
        <v>1499</v>
      </c>
      <c r="I315" s="20">
        <v>2998</v>
      </c>
      <c r="J315" s="20">
        <v>20</v>
      </c>
      <c r="K315" s="20">
        <v>35</v>
      </c>
      <c r="L315" s="19" t="s">
        <v>352</v>
      </c>
      <c r="M315" s="23"/>
      <c r="N315" s="19"/>
      <c r="O315" s="19"/>
      <c r="P315" s="19"/>
      <c r="Q315" s="19"/>
      <c r="R315" s="19"/>
      <c r="S315" s="19"/>
      <c r="T315" s="19"/>
      <c r="U315" s="19"/>
      <c r="V315" s="19"/>
      <c r="W315" s="19"/>
      <c r="X315" s="19"/>
      <c r="Y315" s="19"/>
      <c r="Z315" s="19"/>
    </row>
    <row r="316" spans="1:26" ht="15" thickBot="1" x14ac:dyDescent="0.35">
      <c r="A316" s="20">
        <v>10033</v>
      </c>
      <c r="B316" s="21">
        <v>45690</v>
      </c>
      <c r="C316" s="19" t="s">
        <v>410</v>
      </c>
      <c r="D316" s="19" t="s">
        <v>341</v>
      </c>
      <c r="E316" s="19" t="s">
        <v>346</v>
      </c>
      <c r="F316" s="19" t="s">
        <v>411</v>
      </c>
      <c r="G316" s="20">
        <v>7</v>
      </c>
      <c r="H316" s="20">
        <v>1999</v>
      </c>
      <c r="I316" s="20">
        <v>5997</v>
      </c>
      <c r="J316" s="20">
        <v>25</v>
      </c>
      <c r="K316" s="20">
        <v>40</v>
      </c>
      <c r="L316" s="19" t="s">
        <v>343</v>
      </c>
      <c r="M316" s="23"/>
      <c r="N316" s="19"/>
      <c r="O316" s="19"/>
      <c r="P316" s="19"/>
      <c r="Q316" s="19"/>
      <c r="R316" s="19"/>
      <c r="S316" s="19"/>
      <c r="T316" s="19"/>
      <c r="U316" s="19"/>
      <c r="V316" s="19"/>
      <c r="W316" s="19"/>
      <c r="X316" s="19"/>
      <c r="Y316" s="19"/>
      <c r="Z316" s="19"/>
    </row>
    <row r="317" spans="1:26" ht="15" thickBot="1" x14ac:dyDescent="0.35">
      <c r="A317" s="20">
        <v>10034</v>
      </c>
      <c r="B317" s="21">
        <v>45691</v>
      </c>
      <c r="C317" s="19" t="s">
        <v>412</v>
      </c>
      <c r="D317" s="19" t="s">
        <v>357</v>
      </c>
      <c r="E317" s="19" t="s">
        <v>342</v>
      </c>
      <c r="F317" s="19" t="s">
        <v>413</v>
      </c>
      <c r="G317" s="20">
        <v>10</v>
      </c>
      <c r="H317" s="20">
        <v>2499</v>
      </c>
      <c r="I317" s="20">
        <v>9996</v>
      </c>
      <c r="J317" s="20">
        <v>30</v>
      </c>
      <c r="K317" s="20">
        <v>24</v>
      </c>
      <c r="L317" s="19" t="s">
        <v>358</v>
      </c>
      <c r="M317" s="23"/>
      <c r="N317" s="19"/>
      <c r="O317" s="19"/>
      <c r="P317" s="19"/>
      <c r="Q317" s="19"/>
      <c r="R317" s="19"/>
      <c r="S317" s="19"/>
      <c r="T317" s="19"/>
      <c r="U317" s="19"/>
      <c r="V317" s="19"/>
      <c r="W317" s="19"/>
      <c r="X317" s="19"/>
      <c r="Y317" s="19"/>
      <c r="Z317" s="19"/>
    </row>
    <row r="318" spans="1:26" ht="15" thickBot="1" x14ac:dyDescent="0.35">
      <c r="A318" s="20">
        <v>10035</v>
      </c>
      <c r="B318" s="21">
        <v>45692</v>
      </c>
      <c r="C318" s="19" t="s">
        <v>414</v>
      </c>
      <c r="D318" s="19" t="s">
        <v>345</v>
      </c>
      <c r="E318" s="19" t="s">
        <v>354</v>
      </c>
      <c r="F318" s="19" t="s">
        <v>415</v>
      </c>
      <c r="G318" s="20">
        <v>2</v>
      </c>
      <c r="H318" s="20">
        <v>2999</v>
      </c>
      <c r="I318" s="20">
        <v>14995</v>
      </c>
      <c r="J318" s="20">
        <v>18</v>
      </c>
      <c r="K318" s="20">
        <v>31</v>
      </c>
      <c r="L318" s="19" t="s">
        <v>348</v>
      </c>
      <c r="M318" s="23"/>
      <c r="N318" s="19"/>
      <c r="O318" s="19"/>
      <c r="P318" s="19"/>
      <c r="Q318" s="19"/>
      <c r="R318" s="19"/>
      <c r="S318" s="19"/>
      <c r="T318" s="19"/>
      <c r="U318" s="19"/>
      <c r="V318" s="19"/>
      <c r="W318" s="19"/>
      <c r="X318" s="19"/>
      <c r="Y318" s="19"/>
      <c r="Z318" s="19"/>
    </row>
    <row r="319" spans="1:26" ht="15" thickBot="1" x14ac:dyDescent="0.35">
      <c r="A319" s="20">
        <v>10036</v>
      </c>
      <c r="B319" s="21">
        <v>45693</v>
      </c>
      <c r="C319" s="19" t="s">
        <v>416</v>
      </c>
      <c r="D319" s="19" t="s">
        <v>350</v>
      </c>
      <c r="E319" s="19" t="s">
        <v>346</v>
      </c>
      <c r="F319" s="19" t="s">
        <v>417</v>
      </c>
      <c r="G319" s="20">
        <v>6</v>
      </c>
      <c r="H319" s="20">
        <v>999</v>
      </c>
      <c r="I319" s="20">
        <v>999</v>
      </c>
      <c r="J319" s="20">
        <v>15</v>
      </c>
      <c r="K319" s="20">
        <v>29</v>
      </c>
      <c r="L319" s="19" t="s">
        <v>352</v>
      </c>
      <c r="M319" s="23"/>
      <c r="N319" s="19"/>
      <c r="O319" s="19"/>
      <c r="P319" s="19"/>
      <c r="Q319" s="19"/>
      <c r="R319" s="19"/>
      <c r="S319" s="19"/>
      <c r="T319" s="19"/>
      <c r="U319" s="19"/>
      <c r="V319" s="19"/>
      <c r="W319" s="19"/>
      <c r="X319" s="19"/>
      <c r="Y319" s="19"/>
      <c r="Z319" s="19"/>
    </row>
    <row r="320" spans="1:26" ht="15" thickBot="1" x14ac:dyDescent="0.35">
      <c r="A320" s="20">
        <v>10037</v>
      </c>
      <c r="B320" s="21">
        <v>45694</v>
      </c>
      <c r="C320" s="19" t="s">
        <v>418</v>
      </c>
      <c r="D320" s="19" t="s">
        <v>341</v>
      </c>
      <c r="E320" s="19" t="s">
        <v>342</v>
      </c>
      <c r="F320" s="19" t="s">
        <v>419</v>
      </c>
      <c r="G320" s="20">
        <v>7</v>
      </c>
      <c r="H320" s="20">
        <v>1499</v>
      </c>
      <c r="I320" s="20">
        <v>2998</v>
      </c>
      <c r="J320" s="20">
        <v>20</v>
      </c>
      <c r="K320" s="20">
        <v>45</v>
      </c>
      <c r="L320" s="19" t="s">
        <v>343</v>
      </c>
      <c r="M320" s="23"/>
      <c r="N320" s="19"/>
      <c r="O320" s="19"/>
      <c r="P320" s="19"/>
      <c r="Q320" s="19"/>
      <c r="R320" s="19"/>
      <c r="S320" s="19"/>
      <c r="T320" s="19"/>
      <c r="U320" s="19"/>
      <c r="V320" s="19"/>
      <c r="W320" s="19"/>
      <c r="X320" s="19"/>
      <c r="Y320" s="19"/>
      <c r="Z320" s="19"/>
    </row>
    <row r="321" spans="1:26" ht="15" thickBot="1" x14ac:dyDescent="0.35">
      <c r="A321" s="20">
        <v>10038</v>
      </c>
      <c r="B321" s="21">
        <v>45695</v>
      </c>
      <c r="C321" s="19" t="s">
        <v>420</v>
      </c>
      <c r="D321" s="19" t="s">
        <v>357</v>
      </c>
      <c r="E321" s="19" t="s">
        <v>354</v>
      </c>
      <c r="F321" s="19" t="s">
        <v>421</v>
      </c>
      <c r="G321" s="20">
        <v>10</v>
      </c>
      <c r="H321" s="20">
        <v>1999</v>
      </c>
      <c r="I321" s="20">
        <v>3998</v>
      </c>
      <c r="J321" s="20">
        <v>25</v>
      </c>
      <c r="K321" s="20">
        <v>32</v>
      </c>
      <c r="L321" s="19" t="s">
        <v>358</v>
      </c>
      <c r="M321" s="23"/>
      <c r="N321" s="19"/>
      <c r="O321" s="19"/>
      <c r="P321" s="19"/>
      <c r="Q321" s="19"/>
      <c r="R321" s="19"/>
      <c r="S321" s="19"/>
      <c r="T321" s="19"/>
      <c r="U321" s="19"/>
      <c r="V321" s="19"/>
      <c r="W321" s="19"/>
      <c r="X321" s="19"/>
      <c r="Y321" s="19"/>
      <c r="Z321" s="19"/>
    </row>
    <row r="322" spans="1:26" ht="15" thickBot="1" x14ac:dyDescent="0.35">
      <c r="A322" s="20">
        <v>10039</v>
      </c>
      <c r="B322" s="21">
        <v>45696</v>
      </c>
      <c r="C322" s="19" t="s">
        <v>422</v>
      </c>
      <c r="D322" s="19" t="s">
        <v>345</v>
      </c>
      <c r="E322" s="19" t="s">
        <v>346</v>
      </c>
      <c r="F322" s="19" t="s">
        <v>423</v>
      </c>
      <c r="G322" s="20">
        <v>7</v>
      </c>
      <c r="H322" s="20">
        <v>2499</v>
      </c>
      <c r="I322" s="20">
        <v>9996</v>
      </c>
      <c r="J322" s="20">
        <v>30</v>
      </c>
      <c r="K322" s="20">
        <v>27</v>
      </c>
      <c r="L322" s="19" t="s">
        <v>348</v>
      </c>
      <c r="M322" s="23"/>
      <c r="N322" s="19"/>
      <c r="O322" s="19"/>
      <c r="P322" s="19"/>
      <c r="Q322" s="19"/>
      <c r="R322" s="19"/>
      <c r="S322" s="19"/>
      <c r="T322" s="19"/>
      <c r="U322" s="19"/>
      <c r="V322" s="19"/>
      <c r="W322" s="19"/>
      <c r="X322" s="19"/>
      <c r="Y322" s="19"/>
      <c r="Z322" s="19"/>
    </row>
    <row r="323" spans="1:26" ht="15" thickBot="1" x14ac:dyDescent="0.35">
      <c r="A323" s="20">
        <v>10040</v>
      </c>
      <c r="B323" s="21">
        <v>45697</v>
      </c>
      <c r="C323" s="19" t="s">
        <v>424</v>
      </c>
      <c r="D323" s="19" t="s">
        <v>350</v>
      </c>
      <c r="E323" s="19" t="s">
        <v>342</v>
      </c>
      <c r="F323" s="19" t="s">
        <v>425</v>
      </c>
      <c r="G323" s="20">
        <v>7</v>
      </c>
      <c r="H323" s="20">
        <v>2999</v>
      </c>
      <c r="I323" s="20">
        <v>8997</v>
      </c>
      <c r="J323" s="20">
        <v>18</v>
      </c>
      <c r="K323" s="20">
        <v>39</v>
      </c>
      <c r="L323" s="19" t="s">
        <v>352</v>
      </c>
      <c r="M323" s="23"/>
      <c r="N323" s="19"/>
      <c r="O323" s="19"/>
      <c r="P323" s="19"/>
      <c r="Q323" s="19"/>
      <c r="R323" s="19"/>
      <c r="S323" s="19"/>
      <c r="T323" s="19"/>
      <c r="U323" s="19"/>
      <c r="V323" s="19"/>
      <c r="W323" s="19"/>
      <c r="X323" s="19"/>
      <c r="Y323" s="19"/>
      <c r="Z323" s="19"/>
    </row>
    <row r="324" spans="1:26" ht="15" thickBot="1" x14ac:dyDescent="0.35">
      <c r="A324" s="20">
        <v>10041</v>
      </c>
      <c r="B324" s="21">
        <v>45698</v>
      </c>
      <c r="C324" s="19" t="s">
        <v>426</v>
      </c>
      <c r="D324" s="19" t="s">
        <v>341</v>
      </c>
      <c r="E324" s="19" t="s">
        <v>354</v>
      </c>
      <c r="F324" s="19" t="s">
        <v>427</v>
      </c>
      <c r="G324" s="20">
        <v>5</v>
      </c>
      <c r="H324" s="20">
        <v>999</v>
      </c>
      <c r="I324" s="20">
        <v>999</v>
      </c>
      <c r="J324" s="20">
        <v>15</v>
      </c>
      <c r="K324" s="20">
        <v>28</v>
      </c>
      <c r="L324" s="19" t="s">
        <v>343</v>
      </c>
      <c r="M324" s="23"/>
      <c r="N324" s="19"/>
      <c r="O324" s="19"/>
      <c r="P324" s="19"/>
      <c r="Q324" s="19"/>
      <c r="R324" s="19"/>
      <c r="S324" s="19"/>
      <c r="T324" s="19"/>
      <c r="U324" s="19"/>
      <c r="V324" s="19"/>
      <c r="W324" s="19"/>
      <c r="X324" s="19"/>
      <c r="Y324" s="19"/>
      <c r="Z324" s="19"/>
    </row>
    <row r="325" spans="1:26" ht="15" thickBot="1" x14ac:dyDescent="0.35">
      <c r="A325" s="20">
        <v>10042</v>
      </c>
      <c r="B325" s="21">
        <v>45699</v>
      </c>
      <c r="C325" s="19" t="s">
        <v>428</v>
      </c>
      <c r="D325" s="19" t="s">
        <v>357</v>
      </c>
      <c r="E325" s="19" t="s">
        <v>346</v>
      </c>
      <c r="F325" s="19" t="s">
        <v>429</v>
      </c>
      <c r="G325" s="20">
        <v>8</v>
      </c>
      <c r="H325" s="20">
        <v>1499</v>
      </c>
      <c r="I325" s="20">
        <v>2998</v>
      </c>
      <c r="J325" s="20">
        <v>20</v>
      </c>
      <c r="K325" s="20">
        <v>35</v>
      </c>
      <c r="L325" s="19" t="s">
        <v>358</v>
      </c>
      <c r="M325" s="23"/>
      <c r="N325" s="19"/>
      <c r="O325" s="19"/>
      <c r="P325" s="19"/>
      <c r="Q325" s="19"/>
      <c r="R325" s="19"/>
      <c r="S325" s="19"/>
      <c r="T325" s="19"/>
      <c r="U325" s="19"/>
      <c r="V325" s="19"/>
      <c r="W325" s="19"/>
      <c r="X325" s="19"/>
      <c r="Y325" s="19"/>
      <c r="Z325" s="19"/>
    </row>
    <row r="326" spans="1:26" ht="15" thickBot="1" x14ac:dyDescent="0.35">
      <c r="A326" s="20">
        <v>10043</v>
      </c>
      <c r="B326" s="21">
        <v>45700</v>
      </c>
      <c r="C326" s="19" t="s">
        <v>430</v>
      </c>
      <c r="D326" s="19" t="s">
        <v>345</v>
      </c>
      <c r="E326" s="19" t="s">
        <v>342</v>
      </c>
      <c r="F326" s="19" t="s">
        <v>431</v>
      </c>
      <c r="G326" s="20">
        <v>1</v>
      </c>
      <c r="H326" s="20">
        <v>1999</v>
      </c>
      <c r="I326" s="20">
        <v>5997</v>
      </c>
      <c r="J326" s="20">
        <v>25</v>
      </c>
      <c r="K326" s="20">
        <v>40</v>
      </c>
      <c r="L326" s="19" t="s">
        <v>348</v>
      </c>
      <c r="M326" s="23"/>
      <c r="N326" s="19"/>
      <c r="O326" s="19"/>
      <c r="P326" s="19"/>
      <c r="Q326" s="19"/>
      <c r="R326" s="19"/>
      <c r="S326" s="19"/>
      <c r="T326" s="19"/>
      <c r="U326" s="19"/>
      <c r="V326" s="19"/>
      <c r="W326" s="19"/>
      <c r="X326" s="19"/>
      <c r="Y326" s="19"/>
      <c r="Z326" s="19"/>
    </row>
    <row r="327" spans="1:26" ht="15" thickBot="1" x14ac:dyDescent="0.35">
      <c r="A327" s="20">
        <v>10044</v>
      </c>
      <c r="B327" s="21">
        <v>45701</v>
      </c>
      <c r="C327" s="19" t="s">
        <v>432</v>
      </c>
      <c r="D327" s="19" t="s">
        <v>350</v>
      </c>
      <c r="E327" s="19" t="s">
        <v>354</v>
      </c>
      <c r="F327" s="19" t="s">
        <v>324</v>
      </c>
      <c r="G327" s="20">
        <v>6</v>
      </c>
      <c r="H327" s="20">
        <v>2499</v>
      </c>
      <c r="I327" s="20">
        <v>9996</v>
      </c>
      <c r="J327" s="20">
        <v>30</v>
      </c>
      <c r="K327" s="20">
        <v>24</v>
      </c>
      <c r="L327" s="19" t="s">
        <v>352</v>
      </c>
      <c r="M327" s="23"/>
      <c r="N327" s="19"/>
      <c r="O327" s="19"/>
      <c r="P327" s="19"/>
      <c r="Q327" s="19"/>
      <c r="R327" s="19"/>
      <c r="S327" s="19"/>
      <c r="T327" s="19"/>
      <c r="U327" s="19"/>
      <c r="V327" s="19"/>
      <c r="W327" s="19"/>
      <c r="X327" s="19"/>
      <c r="Y327" s="19"/>
      <c r="Z327" s="19"/>
    </row>
    <row r="328" spans="1:26" ht="15" thickBot="1" x14ac:dyDescent="0.35">
      <c r="A328" s="20">
        <v>10045</v>
      </c>
      <c r="B328" s="21">
        <v>45702</v>
      </c>
      <c r="C328" s="19" t="s">
        <v>433</v>
      </c>
      <c r="D328" s="19" t="s">
        <v>341</v>
      </c>
      <c r="E328" s="19" t="s">
        <v>346</v>
      </c>
      <c r="F328" s="19" t="s">
        <v>434</v>
      </c>
      <c r="G328" s="20">
        <v>6</v>
      </c>
      <c r="H328" s="20">
        <v>2999</v>
      </c>
      <c r="I328" s="20">
        <v>14995</v>
      </c>
      <c r="J328" s="20">
        <v>18</v>
      </c>
      <c r="K328" s="20">
        <v>31</v>
      </c>
      <c r="L328" s="19" t="s">
        <v>343</v>
      </c>
      <c r="M328" s="23"/>
      <c r="N328" s="19"/>
      <c r="O328" s="19"/>
      <c r="P328" s="19"/>
      <c r="Q328" s="19"/>
      <c r="R328" s="19"/>
      <c r="S328" s="19"/>
      <c r="T328" s="19"/>
      <c r="U328" s="19"/>
      <c r="V328" s="19"/>
      <c r="W328" s="19"/>
      <c r="X328" s="19"/>
      <c r="Y328" s="19"/>
      <c r="Z328" s="19"/>
    </row>
    <row r="329" spans="1:26" ht="15" thickBot="1" x14ac:dyDescent="0.35">
      <c r="A329" s="20">
        <v>10046</v>
      </c>
      <c r="B329" s="21">
        <v>45703</v>
      </c>
      <c r="C329" s="19" t="s">
        <v>435</v>
      </c>
      <c r="D329" s="19" t="s">
        <v>357</v>
      </c>
      <c r="E329" s="19" t="s">
        <v>342</v>
      </c>
      <c r="F329" s="19" t="s">
        <v>436</v>
      </c>
      <c r="G329" s="20">
        <v>8</v>
      </c>
      <c r="H329" s="20">
        <v>999</v>
      </c>
      <c r="I329" s="20">
        <v>1998</v>
      </c>
      <c r="J329" s="20">
        <v>15</v>
      </c>
      <c r="K329" s="20">
        <v>29</v>
      </c>
      <c r="L329" s="19" t="s">
        <v>358</v>
      </c>
      <c r="M329" s="23"/>
      <c r="N329" s="19"/>
      <c r="O329" s="19"/>
      <c r="P329" s="19"/>
      <c r="Q329" s="19"/>
      <c r="R329" s="19"/>
      <c r="S329" s="19"/>
      <c r="T329" s="19"/>
      <c r="U329" s="19"/>
      <c r="V329" s="19"/>
      <c r="W329" s="19"/>
      <c r="X329" s="19"/>
      <c r="Y329" s="19"/>
      <c r="Z329" s="19"/>
    </row>
    <row r="330" spans="1:26" ht="15" thickBot="1" x14ac:dyDescent="0.35">
      <c r="A330" s="20">
        <v>10047</v>
      </c>
      <c r="B330" s="21">
        <v>45704</v>
      </c>
      <c r="C330" s="19" t="s">
        <v>437</v>
      </c>
      <c r="D330" s="19" t="s">
        <v>345</v>
      </c>
      <c r="E330" s="19" t="s">
        <v>354</v>
      </c>
      <c r="F330" s="19" t="s">
        <v>438</v>
      </c>
      <c r="G330" s="20">
        <v>4</v>
      </c>
      <c r="H330" s="20">
        <v>1499</v>
      </c>
      <c r="I330" s="20">
        <v>2998</v>
      </c>
      <c r="J330" s="20">
        <v>20</v>
      </c>
      <c r="K330" s="20">
        <v>45</v>
      </c>
      <c r="L330" s="19" t="s">
        <v>348</v>
      </c>
      <c r="M330" s="23"/>
      <c r="N330" s="19"/>
      <c r="O330" s="19"/>
      <c r="P330" s="19"/>
      <c r="Q330" s="19"/>
      <c r="R330" s="19"/>
      <c r="S330" s="19"/>
      <c r="T330" s="19"/>
      <c r="U330" s="19"/>
      <c r="V330" s="19"/>
      <c r="W330" s="19"/>
      <c r="X330" s="19"/>
      <c r="Y330" s="19"/>
      <c r="Z330" s="19"/>
    </row>
    <row r="331" spans="1:26" ht="15" thickBot="1" x14ac:dyDescent="0.35">
      <c r="A331" s="20">
        <v>10048</v>
      </c>
      <c r="B331" s="21">
        <v>45705</v>
      </c>
      <c r="C331" s="19" t="s">
        <v>439</v>
      </c>
      <c r="D331" s="19" t="s">
        <v>350</v>
      </c>
      <c r="E331" s="19" t="s">
        <v>346</v>
      </c>
      <c r="F331" s="19" t="s">
        <v>440</v>
      </c>
      <c r="G331" s="20">
        <v>6</v>
      </c>
      <c r="H331" s="20">
        <v>1999</v>
      </c>
      <c r="I331" s="20">
        <v>5997</v>
      </c>
      <c r="J331" s="20">
        <v>25</v>
      </c>
      <c r="K331" s="20">
        <v>32</v>
      </c>
      <c r="L331" s="19" t="s">
        <v>352</v>
      </c>
      <c r="M331" s="23"/>
      <c r="N331" s="19"/>
      <c r="O331" s="19"/>
      <c r="P331" s="19"/>
      <c r="Q331" s="19"/>
      <c r="R331" s="19"/>
      <c r="S331" s="19"/>
      <c r="T331" s="19"/>
      <c r="U331" s="19"/>
      <c r="V331" s="19"/>
      <c r="W331" s="19"/>
      <c r="X331" s="19"/>
      <c r="Y331" s="19"/>
      <c r="Z331" s="19"/>
    </row>
    <row r="332" spans="1:26" ht="15" thickBot="1" x14ac:dyDescent="0.35">
      <c r="A332" s="20">
        <v>10049</v>
      </c>
      <c r="B332" s="21">
        <v>45706</v>
      </c>
      <c r="C332" s="19" t="s">
        <v>441</v>
      </c>
      <c r="D332" s="19" t="s">
        <v>341</v>
      </c>
      <c r="E332" s="19" t="s">
        <v>342</v>
      </c>
      <c r="F332" s="19" t="s">
        <v>442</v>
      </c>
      <c r="G332" s="20">
        <v>9</v>
      </c>
      <c r="H332" s="20">
        <v>2499</v>
      </c>
      <c r="I332" s="20">
        <v>22491</v>
      </c>
      <c r="J332" s="20">
        <v>30</v>
      </c>
      <c r="K332" s="20">
        <v>27</v>
      </c>
      <c r="L332" s="19" t="s">
        <v>343</v>
      </c>
      <c r="M332" s="23"/>
      <c r="N332" s="19"/>
      <c r="O332" s="19"/>
      <c r="P332" s="19"/>
      <c r="Q332" s="19"/>
      <c r="R332" s="19"/>
      <c r="S332" s="19"/>
      <c r="T332" s="19"/>
      <c r="U332" s="19"/>
      <c r="V332" s="19"/>
      <c r="W332" s="19"/>
      <c r="X332" s="19"/>
      <c r="Y332" s="19"/>
      <c r="Z332" s="19"/>
    </row>
    <row r="333" spans="1:26" ht="15" thickBot="1" x14ac:dyDescent="0.35">
      <c r="A333" s="26">
        <v>10050</v>
      </c>
      <c r="B333" s="27">
        <v>45707</v>
      </c>
      <c r="C333" s="28" t="s">
        <v>443</v>
      </c>
      <c r="D333" s="28" t="s">
        <v>357</v>
      </c>
      <c r="E333" s="28" t="s">
        <v>354</v>
      </c>
      <c r="F333" s="28" t="s">
        <v>444</v>
      </c>
      <c r="G333" s="26">
        <v>8</v>
      </c>
      <c r="H333" s="26">
        <v>2999</v>
      </c>
      <c r="I333" s="26">
        <v>14995</v>
      </c>
      <c r="J333" s="26">
        <v>18</v>
      </c>
      <c r="K333" s="26">
        <v>39</v>
      </c>
      <c r="L333" s="28" t="s">
        <v>358</v>
      </c>
      <c r="M333" s="23"/>
      <c r="N333" s="19"/>
      <c r="O333" s="19"/>
      <c r="P333" s="19"/>
      <c r="Q333" s="19"/>
      <c r="R333" s="19"/>
      <c r="S333" s="19"/>
      <c r="T333" s="19"/>
      <c r="U333" s="19"/>
      <c r="V333" s="19"/>
      <c r="W333" s="19"/>
      <c r="X333" s="19"/>
      <c r="Y333" s="19"/>
      <c r="Z333" s="19"/>
    </row>
    <row r="334" spans="1:26" ht="15" thickBot="1" x14ac:dyDescent="0.3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 thickBot="1" x14ac:dyDescent="0.35">
      <c r="A335" s="19"/>
      <c r="B335" s="19"/>
      <c r="C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 thickBot="1" x14ac:dyDescent="0.35">
      <c r="A336" t="s">
        <v>447</v>
      </c>
      <c r="B336" s="19"/>
      <c r="C336" s="19"/>
      <c r="D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 thickBot="1" x14ac:dyDescent="0.35">
      <c r="A337" t="s">
        <v>448</v>
      </c>
      <c r="B337" s="19"/>
      <c r="C337" s="19"/>
      <c r="D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 thickBot="1" x14ac:dyDescent="0.35">
      <c r="A338" t="s">
        <v>449</v>
      </c>
      <c r="B338" s="19"/>
      <c r="C338" s="19"/>
      <c r="D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 thickBot="1" x14ac:dyDescent="0.35">
      <c r="A339" t="s">
        <v>450</v>
      </c>
      <c r="B339" s="19"/>
      <c r="C339" s="19"/>
      <c r="D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 thickBot="1" x14ac:dyDescent="0.35">
      <c r="A340" t="s">
        <v>451</v>
      </c>
      <c r="B340" s="19"/>
      <c r="C340" s="19"/>
      <c r="D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 thickBot="1" x14ac:dyDescent="0.35">
      <c r="A341" t="s">
        <v>452</v>
      </c>
      <c r="B341" s="19"/>
      <c r="C341" s="19"/>
      <c r="D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 thickBot="1" x14ac:dyDescent="0.35">
      <c r="A342" t="s">
        <v>453</v>
      </c>
      <c r="B342" s="19"/>
      <c r="C342" s="19"/>
      <c r="D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 thickBot="1" x14ac:dyDescent="0.35">
      <c r="A343" t="s">
        <v>454</v>
      </c>
      <c r="B343" s="19"/>
      <c r="C343" s="19"/>
      <c r="D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 thickBot="1" x14ac:dyDescent="0.35">
      <c r="A344" t="s">
        <v>455</v>
      </c>
      <c r="B344" s="19"/>
      <c r="C344" s="19"/>
      <c r="D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 thickBot="1" x14ac:dyDescent="0.35">
      <c r="A345" t="s">
        <v>456</v>
      </c>
      <c r="B345" s="19"/>
      <c r="C345" s="19"/>
      <c r="D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 thickBot="1" x14ac:dyDescent="0.35">
      <c r="A346" t="s">
        <v>457</v>
      </c>
      <c r="B346" s="19"/>
      <c r="C346" s="19"/>
      <c r="D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 thickBot="1" x14ac:dyDescent="0.35">
      <c r="A347" t="s">
        <v>458</v>
      </c>
      <c r="B347" s="19"/>
      <c r="C347" s="19"/>
      <c r="D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 thickBot="1" x14ac:dyDescent="0.35">
      <c r="A348" t="s">
        <v>459</v>
      </c>
      <c r="B348" s="19"/>
      <c r="C348" s="19"/>
      <c r="D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 thickBot="1" x14ac:dyDescent="0.35">
      <c r="A349" t="s">
        <v>460</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 thickBot="1" x14ac:dyDescent="0.35">
      <c r="A350" s="28"/>
      <c r="B350" s="28"/>
      <c r="C350" s="28"/>
      <c r="D350" s="28"/>
      <c r="E350" s="28"/>
      <c r="F350" s="28"/>
      <c r="G350" s="28"/>
      <c r="H350" s="28"/>
      <c r="I350" s="28"/>
      <c r="J350" s="28"/>
      <c r="K350" s="28"/>
      <c r="L350" s="28"/>
      <c r="M350" s="28"/>
      <c r="N350" s="28"/>
      <c r="O350" s="19"/>
      <c r="P350" s="19"/>
      <c r="Q350" s="19"/>
      <c r="R350" s="19"/>
      <c r="S350" s="19"/>
      <c r="T350" s="19"/>
      <c r="U350" s="19"/>
      <c r="V350" s="19"/>
      <c r="W350" s="19"/>
      <c r="X350" s="19"/>
      <c r="Y350" s="19"/>
      <c r="Z350" s="19"/>
    </row>
    <row r="351" spans="1:26" ht="15" thickBot="1" x14ac:dyDescent="0.35">
      <c r="A351" t="s">
        <v>461</v>
      </c>
      <c r="B351" s="19" t="s">
        <v>331</v>
      </c>
      <c r="C351" s="19" t="s">
        <v>462</v>
      </c>
      <c r="D351" s="19" t="s">
        <v>463</v>
      </c>
      <c r="E351" s="19" t="s">
        <v>464</v>
      </c>
      <c r="F351" s="19" t="s">
        <v>465</v>
      </c>
      <c r="G351" s="19" t="s">
        <v>466</v>
      </c>
      <c r="H351" s="19" t="s">
        <v>446</v>
      </c>
      <c r="I351" s="19" t="s">
        <v>467</v>
      </c>
      <c r="J351" s="19" t="s">
        <v>468</v>
      </c>
      <c r="K351" s="19" t="s">
        <v>469</v>
      </c>
      <c r="L351" s="19" t="s">
        <v>470</v>
      </c>
      <c r="M351" s="19" t="s">
        <v>471</v>
      </c>
      <c r="N351" s="31" t="s">
        <v>472</v>
      </c>
      <c r="O351" s="19"/>
      <c r="P351" s="19"/>
      <c r="Q351" s="19"/>
      <c r="R351" s="19"/>
      <c r="S351" s="19"/>
      <c r="T351" s="19"/>
      <c r="U351" s="19"/>
      <c r="V351" s="19"/>
      <c r="W351" s="19"/>
      <c r="X351" s="19"/>
      <c r="Y351" s="19"/>
      <c r="Z351" s="19"/>
    </row>
    <row r="352" spans="1:26" ht="15" thickBot="1" x14ac:dyDescent="0.35">
      <c r="A352" s="19" t="s">
        <v>473</v>
      </c>
      <c r="B352" s="19" t="s">
        <v>474</v>
      </c>
      <c r="C352" s="19" t="s">
        <v>475</v>
      </c>
      <c r="D352" s="19" t="s">
        <v>476</v>
      </c>
      <c r="E352" s="19">
        <v>9515759149</v>
      </c>
      <c r="F352" s="19" t="s">
        <v>477</v>
      </c>
      <c r="G352" s="19" t="s">
        <v>478</v>
      </c>
      <c r="H352" s="19">
        <v>2439.81</v>
      </c>
      <c r="I352" s="19">
        <v>5</v>
      </c>
      <c r="J352" s="30">
        <v>3559.55</v>
      </c>
      <c r="K352" s="19" t="s">
        <v>343</v>
      </c>
      <c r="L352" s="19">
        <v>12199.05</v>
      </c>
      <c r="M352" s="19" t="s">
        <v>479</v>
      </c>
      <c r="N352" s="31">
        <v>29.18</v>
      </c>
      <c r="O352" s="19"/>
      <c r="P352" s="19"/>
      <c r="Q352" s="19"/>
      <c r="R352" s="19"/>
      <c r="S352" s="19"/>
      <c r="T352" s="19"/>
      <c r="U352" s="19"/>
      <c r="V352" s="19"/>
      <c r="W352" s="19"/>
      <c r="X352" s="19"/>
      <c r="Y352" s="19"/>
      <c r="Z352" s="19"/>
    </row>
    <row r="353" spans="1:26" ht="15" thickBot="1" x14ac:dyDescent="0.35">
      <c r="A353" s="19" t="s">
        <v>480</v>
      </c>
      <c r="B353" s="19" t="s">
        <v>474</v>
      </c>
      <c r="C353" s="19" t="s">
        <v>475</v>
      </c>
      <c r="D353" s="19" t="s">
        <v>476</v>
      </c>
      <c r="E353" s="19">
        <v>9720381947</v>
      </c>
      <c r="F353" s="19" t="s">
        <v>481</v>
      </c>
      <c r="G353" s="19" t="s">
        <v>482</v>
      </c>
      <c r="H353" s="19">
        <v>1621.43</v>
      </c>
      <c r="I353" s="19">
        <v>13</v>
      </c>
      <c r="J353" s="19">
        <v>4029.57</v>
      </c>
      <c r="K353" s="19" t="s">
        <v>483</v>
      </c>
      <c r="L353" s="19">
        <v>21078.59</v>
      </c>
      <c r="M353" s="19" t="s">
        <v>479</v>
      </c>
      <c r="N353" s="31">
        <v>19.12</v>
      </c>
      <c r="O353" s="19"/>
      <c r="P353" s="19"/>
      <c r="Q353" s="19"/>
      <c r="R353" s="19"/>
      <c r="S353" s="19"/>
      <c r="T353" s="19"/>
      <c r="U353" s="19"/>
      <c r="V353" s="19"/>
      <c r="W353" s="19"/>
      <c r="X353" s="19"/>
      <c r="Y353" s="19"/>
      <c r="Z353" s="19"/>
    </row>
    <row r="354" spans="1:26" ht="15" thickBot="1" x14ac:dyDescent="0.35">
      <c r="A354" s="19" t="s">
        <v>484</v>
      </c>
      <c r="B354" s="19" t="s">
        <v>485</v>
      </c>
      <c r="C354" s="19" t="s">
        <v>475</v>
      </c>
      <c r="D354" s="19" t="s">
        <v>486</v>
      </c>
      <c r="E354" s="19">
        <v>9483465530</v>
      </c>
      <c r="F354" s="19" t="s">
        <v>477</v>
      </c>
      <c r="G354" s="19" t="s">
        <v>487</v>
      </c>
      <c r="H354" s="19">
        <v>1363.73</v>
      </c>
      <c r="I354" s="19">
        <v>1</v>
      </c>
      <c r="J354" s="19">
        <v>362.2</v>
      </c>
      <c r="K354" s="19" t="s">
        <v>483</v>
      </c>
      <c r="L354" s="19">
        <v>1363.73</v>
      </c>
      <c r="M354" s="19" t="s">
        <v>488</v>
      </c>
      <c r="N354" s="31">
        <v>26.56</v>
      </c>
      <c r="O354" s="19"/>
      <c r="P354" s="19"/>
      <c r="Q354" s="19"/>
      <c r="R354" s="19"/>
      <c r="S354" s="19"/>
      <c r="T354" s="19"/>
      <c r="U354" s="19"/>
      <c r="V354" s="19"/>
      <c r="W354" s="19"/>
      <c r="X354" s="19"/>
      <c r="Y354" s="19"/>
      <c r="Z354" s="19"/>
    </row>
    <row r="355" spans="1:26" ht="15" thickBot="1" x14ac:dyDescent="0.35">
      <c r="A355" s="19" t="s">
        <v>489</v>
      </c>
      <c r="B355" s="19" t="s">
        <v>485</v>
      </c>
      <c r="C355" s="19" t="s">
        <v>475</v>
      </c>
      <c r="D355" s="19" t="s">
        <v>486</v>
      </c>
      <c r="E355" s="19">
        <v>9350165589</v>
      </c>
      <c r="F355" s="19" t="s">
        <v>481</v>
      </c>
      <c r="G355" s="19" t="s">
        <v>490</v>
      </c>
      <c r="H355" s="19">
        <v>1172.93</v>
      </c>
      <c r="I355" s="19">
        <v>5</v>
      </c>
      <c r="J355" s="19">
        <v>1542.65</v>
      </c>
      <c r="K355" s="19" t="s">
        <v>491</v>
      </c>
      <c r="L355" s="19">
        <v>5864.65</v>
      </c>
      <c r="M355" s="19" t="s">
        <v>492</v>
      </c>
      <c r="N355" s="31">
        <v>26.3</v>
      </c>
      <c r="O355" s="19"/>
      <c r="P355" s="19"/>
      <c r="Q355" s="19"/>
      <c r="R355" s="19"/>
      <c r="S355" s="19"/>
      <c r="T355" s="19"/>
      <c r="U355" s="19"/>
      <c r="V355" s="19"/>
      <c r="W355" s="19"/>
      <c r="X355" s="19"/>
      <c r="Y355" s="19"/>
      <c r="Z355" s="19"/>
    </row>
    <row r="356" spans="1:26" ht="15" thickBot="1" x14ac:dyDescent="0.35">
      <c r="A356" s="19" t="s">
        <v>493</v>
      </c>
      <c r="B356" s="19" t="s">
        <v>485</v>
      </c>
      <c r="C356" s="19" t="s">
        <v>475</v>
      </c>
      <c r="D356" s="19" t="s">
        <v>476</v>
      </c>
      <c r="E356" s="19">
        <v>9621991901</v>
      </c>
      <c r="F356" s="19" t="s">
        <v>477</v>
      </c>
      <c r="G356" s="19" t="s">
        <v>355</v>
      </c>
      <c r="H356" s="19">
        <v>2457.56</v>
      </c>
      <c r="I356" s="19">
        <v>13</v>
      </c>
      <c r="J356" s="19">
        <v>6972.71</v>
      </c>
      <c r="K356" s="19" t="s">
        <v>343</v>
      </c>
      <c r="L356" s="19">
        <v>31948.28</v>
      </c>
      <c r="M356" s="19" t="s">
        <v>479</v>
      </c>
      <c r="N356" s="31">
        <v>21.82</v>
      </c>
      <c r="O356" s="19"/>
      <c r="P356" s="19"/>
      <c r="Q356" s="19"/>
      <c r="R356" s="19"/>
      <c r="S356" s="19"/>
      <c r="T356" s="19"/>
      <c r="U356" s="19"/>
      <c r="V356" s="19"/>
      <c r="W356" s="19"/>
      <c r="X356" s="19"/>
      <c r="Y356" s="19"/>
      <c r="Z356" s="19"/>
    </row>
    <row r="357" spans="1:26" ht="15" thickBot="1" x14ac:dyDescent="0.35">
      <c r="A357" s="19" t="s">
        <v>494</v>
      </c>
      <c r="B357" s="19" t="s">
        <v>485</v>
      </c>
      <c r="C357" s="19" t="s">
        <v>475</v>
      </c>
      <c r="D357" s="19" t="s">
        <v>486</v>
      </c>
      <c r="E357" s="19">
        <v>9734105442</v>
      </c>
      <c r="F357" s="19" t="s">
        <v>477</v>
      </c>
      <c r="G357" s="19" t="s">
        <v>362</v>
      </c>
      <c r="H357" s="19">
        <v>2661.44</v>
      </c>
      <c r="I357" s="19">
        <v>7</v>
      </c>
      <c r="J357" s="19">
        <v>2581.67</v>
      </c>
      <c r="K357" s="19" t="s">
        <v>483</v>
      </c>
      <c r="L357" s="19">
        <v>18630.080000000002</v>
      </c>
      <c r="M357" s="19" t="s">
        <v>479</v>
      </c>
      <c r="N357" s="31">
        <v>13.86</v>
      </c>
      <c r="O357" s="19"/>
      <c r="P357" s="19"/>
      <c r="Q357" s="19"/>
      <c r="R357" s="19"/>
      <c r="S357" s="19"/>
      <c r="T357" s="19"/>
      <c r="U357" s="19"/>
      <c r="V357" s="19"/>
      <c r="W357" s="19"/>
      <c r="X357" s="19"/>
      <c r="Y357" s="19"/>
      <c r="Z357" s="19"/>
    </row>
    <row r="358" spans="1:26" ht="15" thickBot="1" x14ac:dyDescent="0.35">
      <c r="A358" s="19" t="s">
        <v>495</v>
      </c>
      <c r="B358" s="19" t="s">
        <v>496</v>
      </c>
      <c r="C358" s="19" t="s">
        <v>475</v>
      </c>
      <c r="D358" s="19" t="s">
        <v>497</v>
      </c>
      <c r="E358" s="19">
        <v>9117390999</v>
      </c>
      <c r="F358" s="19" t="s">
        <v>477</v>
      </c>
      <c r="G358" s="19" t="s">
        <v>487</v>
      </c>
      <c r="H358" s="19">
        <v>1400.82</v>
      </c>
      <c r="I358" s="19">
        <v>6</v>
      </c>
      <c r="J358" s="19">
        <v>994.44</v>
      </c>
      <c r="K358" s="19" t="s">
        <v>358</v>
      </c>
      <c r="L358" s="19">
        <v>8404.92</v>
      </c>
      <c r="M358" s="19" t="s">
        <v>492</v>
      </c>
      <c r="N358" s="31">
        <v>11.83</v>
      </c>
      <c r="O358" s="19"/>
      <c r="P358" s="19"/>
      <c r="Q358" s="19"/>
      <c r="R358" s="19"/>
      <c r="S358" s="19"/>
      <c r="T358" s="19"/>
      <c r="U358" s="19"/>
      <c r="V358" s="19"/>
      <c r="W358" s="19"/>
      <c r="X358" s="19"/>
      <c r="Y358" s="19"/>
      <c r="Z358" s="19"/>
    </row>
    <row r="359" spans="1:26" ht="15" thickBot="1" x14ac:dyDescent="0.35">
      <c r="A359" s="19" t="s">
        <v>498</v>
      </c>
      <c r="B359" s="19" t="s">
        <v>474</v>
      </c>
      <c r="C359" s="19" t="s">
        <v>475</v>
      </c>
      <c r="D359" s="19" t="s">
        <v>476</v>
      </c>
      <c r="E359" s="19">
        <v>9513032833</v>
      </c>
      <c r="F359" s="19" t="s">
        <v>481</v>
      </c>
      <c r="G359" s="19" t="s">
        <v>499</v>
      </c>
      <c r="H359" s="19">
        <v>416.18</v>
      </c>
      <c r="I359" s="19">
        <v>3</v>
      </c>
      <c r="J359" s="19">
        <v>327.88</v>
      </c>
      <c r="K359" s="19" t="s">
        <v>483</v>
      </c>
      <c r="L359" s="19">
        <v>1248.54</v>
      </c>
      <c r="M359" s="19" t="s">
        <v>488</v>
      </c>
      <c r="N359" s="31">
        <v>26.26</v>
      </c>
      <c r="O359" s="19"/>
      <c r="P359" s="19"/>
      <c r="Q359" s="19"/>
      <c r="R359" s="19"/>
      <c r="S359" s="19"/>
      <c r="T359" s="19"/>
      <c r="U359" s="19"/>
      <c r="V359" s="19"/>
      <c r="W359" s="19"/>
      <c r="X359" s="19"/>
      <c r="Y359" s="19"/>
      <c r="Z359" s="19"/>
    </row>
    <row r="360" spans="1:26" ht="15" thickBot="1" x14ac:dyDescent="0.35">
      <c r="A360" s="19" t="s">
        <v>500</v>
      </c>
      <c r="B360" s="19" t="s">
        <v>485</v>
      </c>
      <c r="C360" s="19" t="s">
        <v>475</v>
      </c>
      <c r="D360" s="19" t="s">
        <v>501</v>
      </c>
      <c r="E360" s="19">
        <v>95543976868</v>
      </c>
      <c r="F360" s="19" t="s">
        <v>481</v>
      </c>
      <c r="G360" s="19" t="s">
        <v>499</v>
      </c>
      <c r="H360" s="19">
        <v>1290.47</v>
      </c>
      <c r="I360" s="19">
        <v>6</v>
      </c>
      <c r="J360" s="19">
        <v>1045.43</v>
      </c>
      <c r="K360" s="19" t="s">
        <v>483</v>
      </c>
      <c r="L360" s="19">
        <v>7742.82</v>
      </c>
      <c r="M360" s="19" t="s">
        <v>492</v>
      </c>
      <c r="N360" s="31">
        <v>13.5</v>
      </c>
      <c r="O360" s="19"/>
      <c r="P360" s="19"/>
      <c r="Q360" s="19"/>
      <c r="R360" s="19"/>
      <c r="S360" s="19"/>
      <c r="T360" s="19"/>
      <c r="U360" s="19"/>
      <c r="V360" s="19"/>
      <c r="W360" s="19"/>
      <c r="X360" s="19"/>
      <c r="Y360" s="19"/>
      <c r="Z360" s="19"/>
    </row>
    <row r="361" spans="1:26" ht="15" thickBot="1" x14ac:dyDescent="0.35">
      <c r="A361" s="19" t="s">
        <v>502</v>
      </c>
      <c r="B361" s="19" t="s">
        <v>474</v>
      </c>
      <c r="C361" s="19" t="s">
        <v>475</v>
      </c>
      <c r="D361" s="19" t="s">
        <v>503</v>
      </c>
      <c r="E361" s="19">
        <v>9866250123</v>
      </c>
      <c r="F361" s="19" t="s">
        <v>477</v>
      </c>
      <c r="G361" s="19" t="s">
        <v>487</v>
      </c>
      <c r="H361" s="19">
        <v>2519.94</v>
      </c>
      <c r="I361" s="19">
        <v>15</v>
      </c>
      <c r="J361" s="19">
        <v>11123.31</v>
      </c>
      <c r="K361" s="19" t="s">
        <v>491</v>
      </c>
      <c r="L361" s="19">
        <v>37799.1</v>
      </c>
      <c r="M361" s="19" t="s">
        <v>479</v>
      </c>
      <c r="N361" s="31">
        <v>29.43</v>
      </c>
      <c r="O361" s="19"/>
      <c r="P361" s="19"/>
      <c r="Q361" s="19"/>
      <c r="R361" s="19"/>
      <c r="S361" s="19"/>
      <c r="T361" s="19"/>
      <c r="U361" s="19"/>
      <c r="V361" s="19"/>
      <c r="W361" s="19"/>
      <c r="X361" s="19"/>
      <c r="Y361" s="19"/>
      <c r="Z361" s="19"/>
    </row>
    <row r="362" spans="1:26" ht="15" thickBot="1" x14ac:dyDescent="0.35">
      <c r="A362" s="19" t="s">
        <v>504</v>
      </c>
      <c r="B362" s="19" t="s">
        <v>485</v>
      </c>
      <c r="C362" s="19" t="s">
        <v>475</v>
      </c>
      <c r="D362" s="19" t="s">
        <v>505</v>
      </c>
      <c r="E362" s="19">
        <v>9884314044</v>
      </c>
      <c r="F362" s="19" t="s">
        <v>477</v>
      </c>
      <c r="G362" s="19" t="s">
        <v>487</v>
      </c>
      <c r="H362" s="19">
        <v>2814.97</v>
      </c>
      <c r="I362" s="19">
        <v>1</v>
      </c>
      <c r="J362" s="19">
        <v>716.15</v>
      </c>
      <c r="K362" s="19" t="s">
        <v>483</v>
      </c>
      <c r="L362" s="19">
        <v>2814.97</v>
      </c>
      <c r="M362" s="19" t="s">
        <v>488</v>
      </c>
      <c r="N362" s="31">
        <v>25.44</v>
      </c>
      <c r="O362" s="19"/>
      <c r="P362" s="19"/>
      <c r="Q362" s="19"/>
      <c r="R362" s="19"/>
      <c r="S362" s="19"/>
      <c r="T362" s="19"/>
      <c r="U362" s="19"/>
      <c r="V362" s="19"/>
      <c r="W362" s="19"/>
      <c r="X362" s="19"/>
      <c r="Y362" s="19"/>
      <c r="Z362" s="19"/>
    </row>
    <row r="363" spans="1:26" ht="15" thickBot="1" x14ac:dyDescent="0.35">
      <c r="A363" s="19" t="s">
        <v>506</v>
      </c>
      <c r="B363" s="19" t="s">
        <v>496</v>
      </c>
      <c r="C363" s="19" t="s">
        <v>475</v>
      </c>
      <c r="D363" s="19" t="s">
        <v>486</v>
      </c>
      <c r="E363" s="19">
        <v>9192128284</v>
      </c>
      <c r="F363" s="19" t="s">
        <v>477</v>
      </c>
      <c r="G363" s="19" t="s">
        <v>355</v>
      </c>
      <c r="H363" s="19">
        <v>841.72</v>
      </c>
      <c r="I363" s="19">
        <v>13</v>
      </c>
      <c r="J363" s="19">
        <v>2130.1799999999998</v>
      </c>
      <c r="K363" s="19" t="s">
        <v>358</v>
      </c>
      <c r="L363" s="19">
        <v>10942.36</v>
      </c>
      <c r="M363" s="19" t="s">
        <v>479</v>
      </c>
      <c r="N363" s="31">
        <v>19.47</v>
      </c>
      <c r="O363" s="19"/>
      <c r="P363" s="19"/>
      <c r="Q363" s="19"/>
      <c r="R363" s="19"/>
      <c r="S363" s="19"/>
      <c r="T363" s="19"/>
      <c r="U363" s="19"/>
      <c r="V363" s="19"/>
      <c r="W363" s="19"/>
      <c r="X363" s="19"/>
      <c r="Y363" s="19"/>
      <c r="Z363" s="19"/>
    </row>
    <row r="364" spans="1:26" ht="15" thickBot="1" x14ac:dyDescent="0.35">
      <c r="A364" s="19" t="s">
        <v>507</v>
      </c>
      <c r="B364" s="19" t="s">
        <v>508</v>
      </c>
      <c r="C364" s="19" t="s">
        <v>475</v>
      </c>
      <c r="D364" s="19" t="s">
        <v>486</v>
      </c>
      <c r="E364" s="19">
        <v>9731590483</v>
      </c>
      <c r="F364" s="19" t="s">
        <v>342</v>
      </c>
      <c r="G364" s="19" t="s">
        <v>315</v>
      </c>
      <c r="H364" s="19">
        <v>1169.28</v>
      </c>
      <c r="I364" s="19">
        <v>2</v>
      </c>
      <c r="J364" s="19">
        <v>273.95</v>
      </c>
      <c r="K364" s="19" t="s">
        <v>343</v>
      </c>
      <c r="L364" s="19">
        <v>2338.56</v>
      </c>
      <c r="M364" s="19" t="s">
        <v>488</v>
      </c>
      <c r="N364" s="31">
        <v>11.71</v>
      </c>
      <c r="O364" s="19"/>
      <c r="P364" s="19"/>
      <c r="Q364" s="19"/>
      <c r="R364" s="19"/>
      <c r="S364" s="19"/>
      <c r="T364" s="19"/>
      <c r="U364" s="19"/>
      <c r="V364" s="19"/>
      <c r="W364" s="19"/>
      <c r="X364" s="19"/>
      <c r="Y364" s="19"/>
      <c r="Z364" s="19"/>
    </row>
    <row r="365" spans="1:26" ht="15" thickBot="1" x14ac:dyDescent="0.35">
      <c r="A365" s="19" t="s">
        <v>509</v>
      </c>
      <c r="B365" s="19" t="s">
        <v>474</v>
      </c>
      <c r="C365" s="19" t="s">
        <v>475</v>
      </c>
      <c r="D365" s="19" t="s">
        <v>476</v>
      </c>
      <c r="E365" s="19">
        <v>9245312903</v>
      </c>
      <c r="F365" s="19" t="s">
        <v>481</v>
      </c>
      <c r="G365" s="19" t="s">
        <v>401</v>
      </c>
      <c r="H365" s="19">
        <v>2320.0300000000002</v>
      </c>
      <c r="I365" s="19">
        <v>3</v>
      </c>
      <c r="J365" s="19">
        <v>1260.55</v>
      </c>
      <c r="K365" s="19" t="s">
        <v>343</v>
      </c>
      <c r="L365" s="19">
        <v>6960.09</v>
      </c>
      <c r="M365" s="19" t="s">
        <v>492</v>
      </c>
      <c r="N365" s="31">
        <v>18.11</v>
      </c>
      <c r="O365" s="19"/>
      <c r="P365" s="19"/>
      <c r="Q365" s="19"/>
      <c r="R365" s="19"/>
      <c r="S365" s="19"/>
      <c r="T365" s="19"/>
      <c r="U365" s="19"/>
      <c r="V365" s="19"/>
      <c r="W365" s="19"/>
      <c r="X365" s="19"/>
      <c r="Y365" s="19"/>
      <c r="Z365" s="19"/>
    </row>
    <row r="366" spans="1:26" ht="15" thickBot="1" x14ac:dyDescent="0.35">
      <c r="A366" s="19" t="s">
        <v>510</v>
      </c>
      <c r="B366" s="19" t="s">
        <v>508</v>
      </c>
      <c r="C366" s="19" t="s">
        <v>475</v>
      </c>
      <c r="D366" s="19" t="s">
        <v>486</v>
      </c>
      <c r="E366" s="19">
        <v>9587137236</v>
      </c>
      <c r="F366" s="19" t="s">
        <v>477</v>
      </c>
      <c r="G366" s="19" t="s">
        <v>487</v>
      </c>
      <c r="H366" s="19">
        <v>1780.66</v>
      </c>
      <c r="I366" s="19">
        <v>11</v>
      </c>
      <c r="J366" s="19">
        <v>2826.93</v>
      </c>
      <c r="K366" s="19" t="s">
        <v>358</v>
      </c>
      <c r="L366" s="19">
        <v>19587.259999999998</v>
      </c>
      <c r="M366" s="19" t="s">
        <v>479</v>
      </c>
      <c r="N366" s="31">
        <v>14.43</v>
      </c>
      <c r="O366" s="19"/>
      <c r="P366" s="19"/>
      <c r="Q366" s="19"/>
      <c r="R366" s="19"/>
      <c r="S366" s="19"/>
      <c r="T366" s="19"/>
      <c r="U366" s="19"/>
      <c r="V366" s="19"/>
      <c r="W366" s="19"/>
      <c r="X366" s="19"/>
      <c r="Y366" s="19"/>
      <c r="Z366" s="19"/>
    </row>
    <row r="367" spans="1:26" ht="15" thickBot="1" x14ac:dyDescent="0.35">
      <c r="A367" s="19" t="s">
        <v>511</v>
      </c>
      <c r="B367" s="19" t="s">
        <v>508</v>
      </c>
      <c r="C367" s="19" t="s">
        <v>475</v>
      </c>
      <c r="D367" s="19" t="s">
        <v>497</v>
      </c>
      <c r="E367" s="19">
        <v>9161819590</v>
      </c>
      <c r="F367" s="19" t="s">
        <v>342</v>
      </c>
      <c r="G367" s="19" t="s">
        <v>512</v>
      </c>
      <c r="H367" s="19">
        <v>2672</v>
      </c>
      <c r="I367" s="19">
        <v>15</v>
      </c>
      <c r="J367" s="19">
        <v>4719.91</v>
      </c>
      <c r="K367" s="19" t="s">
        <v>491</v>
      </c>
      <c r="L367" s="19">
        <v>40080</v>
      </c>
      <c r="M367" s="19" t="s">
        <v>479</v>
      </c>
      <c r="N367" s="31">
        <v>11.78</v>
      </c>
      <c r="O367" s="19"/>
      <c r="P367" s="19"/>
      <c r="Q367" s="19"/>
      <c r="R367" s="19"/>
      <c r="S367" s="19"/>
      <c r="T367" s="19"/>
      <c r="U367" s="19"/>
      <c r="V367" s="19"/>
      <c r="W367" s="19"/>
      <c r="X367" s="19"/>
      <c r="Y367" s="19"/>
      <c r="Z367" s="19"/>
    </row>
    <row r="368" spans="1:26" ht="15" thickBot="1" x14ac:dyDescent="0.35">
      <c r="A368" s="19" t="s">
        <v>513</v>
      </c>
      <c r="B368" s="19" t="s">
        <v>485</v>
      </c>
      <c r="C368" s="19" t="s">
        <v>475</v>
      </c>
      <c r="D368" s="19" t="s">
        <v>486</v>
      </c>
      <c r="E368" s="19">
        <v>9551484924</v>
      </c>
      <c r="F368" s="19" t="s">
        <v>477</v>
      </c>
      <c r="G368" s="19" t="s">
        <v>514</v>
      </c>
      <c r="H368" s="19">
        <v>824.49</v>
      </c>
      <c r="I368" s="19">
        <v>9</v>
      </c>
      <c r="J368" s="19">
        <v>1403.14</v>
      </c>
      <c r="K368" s="19" t="s">
        <v>515</v>
      </c>
      <c r="L368" s="19">
        <v>7420.41</v>
      </c>
      <c r="M368" s="19" t="s">
        <v>492</v>
      </c>
      <c r="N368" s="31">
        <v>18.91</v>
      </c>
      <c r="O368" s="19"/>
      <c r="P368" s="19"/>
      <c r="Q368" s="19"/>
      <c r="R368" s="19"/>
      <c r="S368" s="19"/>
      <c r="T368" s="19"/>
      <c r="U368" s="19"/>
      <c r="V368" s="19"/>
      <c r="W368" s="19"/>
      <c r="X368" s="19"/>
      <c r="Y368" s="19"/>
      <c r="Z368" s="19"/>
    </row>
    <row r="369" spans="1:26" ht="15" thickBot="1" x14ac:dyDescent="0.35">
      <c r="A369" s="19" t="s">
        <v>516</v>
      </c>
      <c r="B369" s="19" t="s">
        <v>496</v>
      </c>
      <c r="C369" s="19" t="s">
        <v>475</v>
      </c>
      <c r="D369" s="19" t="s">
        <v>517</v>
      </c>
      <c r="E369" s="19">
        <v>91682255459</v>
      </c>
      <c r="F369" s="19" t="s">
        <v>342</v>
      </c>
      <c r="G369" s="19" t="s">
        <v>370</v>
      </c>
      <c r="H369" s="19">
        <v>2896.96</v>
      </c>
      <c r="I369" s="19">
        <v>7</v>
      </c>
      <c r="J369" s="19">
        <v>3528.3</v>
      </c>
      <c r="K369" s="19" t="s">
        <v>483</v>
      </c>
      <c r="L369" s="19">
        <v>20278.72</v>
      </c>
      <c r="M369" s="19" t="s">
        <v>479</v>
      </c>
      <c r="N369" s="31">
        <v>17.399999999999999</v>
      </c>
      <c r="O369" s="19"/>
      <c r="P369" s="19"/>
      <c r="Q369" s="19"/>
      <c r="R369" s="19"/>
      <c r="S369" s="19"/>
      <c r="T369" s="19"/>
      <c r="U369" s="19"/>
      <c r="V369" s="19"/>
      <c r="W369" s="19"/>
      <c r="X369" s="19"/>
      <c r="Y369" s="19"/>
      <c r="Z369" s="19"/>
    </row>
    <row r="370" spans="1:26" ht="15" thickBot="1" x14ac:dyDescent="0.35">
      <c r="A370" s="19" t="s">
        <v>518</v>
      </c>
      <c r="B370" s="19" t="s">
        <v>485</v>
      </c>
      <c r="C370" s="19" t="s">
        <v>475</v>
      </c>
      <c r="D370" s="19" t="s">
        <v>501</v>
      </c>
      <c r="E370" s="19">
        <v>9277023818</v>
      </c>
      <c r="F370" s="19" t="s">
        <v>342</v>
      </c>
      <c r="G370" s="19" t="s">
        <v>512</v>
      </c>
      <c r="H370" s="19">
        <v>1235.32</v>
      </c>
      <c r="I370" s="19">
        <v>9</v>
      </c>
      <c r="J370" s="19">
        <v>2542.0700000000002</v>
      </c>
      <c r="K370" s="19" t="s">
        <v>515</v>
      </c>
      <c r="L370" s="19">
        <v>11117.88</v>
      </c>
      <c r="M370" s="19" t="s">
        <v>479</v>
      </c>
      <c r="N370" s="31">
        <v>22.86</v>
      </c>
      <c r="O370" s="19"/>
      <c r="P370" s="19"/>
      <c r="Q370" s="19"/>
      <c r="R370" s="19"/>
      <c r="S370" s="19"/>
      <c r="T370" s="19"/>
      <c r="U370" s="19"/>
      <c r="V370" s="19"/>
      <c r="W370" s="19"/>
      <c r="X370" s="19"/>
      <c r="Y370" s="19"/>
      <c r="Z370" s="19"/>
    </row>
    <row r="371" spans="1:26" ht="15" thickBot="1" x14ac:dyDescent="0.35">
      <c r="A371" s="19" t="s">
        <v>519</v>
      </c>
      <c r="B371" s="19" t="s">
        <v>496</v>
      </c>
      <c r="C371" s="19" t="s">
        <v>475</v>
      </c>
      <c r="D371" s="19" t="s">
        <v>503</v>
      </c>
      <c r="E371" s="19">
        <v>9670448490</v>
      </c>
      <c r="F371" s="19" t="s">
        <v>481</v>
      </c>
      <c r="G371" s="19" t="s">
        <v>482</v>
      </c>
      <c r="H371" s="19">
        <v>2168.33</v>
      </c>
      <c r="I371" s="19">
        <v>3</v>
      </c>
      <c r="J371" s="19">
        <v>1394.93</v>
      </c>
      <c r="K371" s="19" t="s">
        <v>491</v>
      </c>
      <c r="L371" s="19">
        <v>6504.99</v>
      </c>
      <c r="M371" s="19" t="s">
        <v>492</v>
      </c>
      <c r="N371" s="31">
        <v>21.44</v>
      </c>
      <c r="O371" s="19"/>
      <c r="P371" s="19"/>
      <c r="Q371" s="19"/>
      <c r="R371" s="19"/>
      <c r="S371" s="19"/>
      <c r="T371" s="19"/>
      <c r="U371" s="19"/>
      <c r="V371" s="19"/>
      <c r="W371" s="19"/>
      <c r="X371" s="19"/>
      <c r="Y371" s="19"/>
      <c r="Z371" s="19"/>
    </row>
    <row r="372" spans="1:26" ht="15" thickBot="1" x14ac:dyDescent="0.35">
      <c r="A372" s="19" t="s">
        <v>520</v>
      </c>
      <c r="B372" s="19" t="s">
        <v>496</v>
      </c>
      <c r="C372" s="19" t="s">
        <v>475</v>
      </c>
      <c r="D372" s="19" t="s">
        <v>486</v>
      </c>
      <c r="E372" s="19">
        <v>9123788207</v>
      </c>
      <c r="F372" s="19" t="s">
        <v>477</v>
      </c>
      <c r="G372" s="19" t="s">
        <v>514</v>
      </c>
      <c r="H372" s="19">
        <v>2654.54</v>
      </c>
      <c r="I372" s="19">
        <v>5</v>
      </c>
      <c r="J372" s="19">
        <v>3308.52</v>
      </c>
      <c r="K372" s="19" t="s">
        <v>515</v>
      </c>
      <c r="L372" s="19">
        <v>13272.7</v>
      </c>
      <c r="M372" s="19" t="s">
        <v>479</v>
      </c>
      <c r="N372" s="31">
        <v>24.93</v>
      </c>
      <c r="O372" s="19"/>
      <c r="P372" s="19"/>
      <c r="Q372" s="19"/>
      <c r="R372" s="19"/>
      <c r="S372" s="19"/>
      <c r="T372" s="19"/>
      <c r="U372" s="19"/>
      <c r="V372" s="19"/>
      <c r="W372" s="19"/>
      <c r="X372" s="19"/>
      <c r="Y372" s="19"/>
      <c r="Z372" s="19"/>
    </row>
    <row r="373" spans="1:26" ht="15" thickBot="1" x14ac:dyDescent="0.35">
      <c r="A373" s="19" t="s">
        <v>521</v>
      </c>
      <c r="B373" s="19" t="s">
        <v>474</v>
      </c>
      <c r="C373" s="19" t="s">
        <v>475</v>
      </c>
      <c r="D373" s="19" t="s">
        <v>497</v>
      </c>
      <c r="E373" s="19">
        <v>99831923457</v>
      </c>
      <c r="F373" s="19" t="s">
        <v>342</v>
      </c>
      <c r="G373" s="19" t="s">
        <v>318</v>
      </c>
      <c r="H373" s="19">
        <v>1313.77</v>
      </c>
      <c r="I373" s="19">
        <v>7</v>
      </c>
      <c r="J373" s="19">
        <v>2435.5500000000002</v>
      </c>
      <c r="K373" s="19" t="s">
        <v>491</v>
      </c>
      <c r="L373" s="19">
        <v>9196.39</v>
      </c>
      <c r="M373" s="19" t="s">
        <v>492</v>
      </c>
      <c r="N373" s="31">
        <v>26.48</v>
      </c>
      <c r="O373" s="19"/>
      <c r="P373" s="19"/>
      <c r="Q373" s="19"/>
      <c r="R373" s="19"/>
      <c r="S373" s="19"/>
      <c r="T373" s="19"/>
      <c r="U373" s="19"/>
      <c r="V373" s="19"/>
      <c r="W373" s="19"/>
      <c r="X373" s="19"/>
      <c r="Y373" s="19"/>
      <c r="Z373" s="19"/>
    </row>
    <row r="374" spans="1:26" ht="15" thickBot="1" x14ac:dyDescent="0.35">
      <c r="A374" s="19" t="s">
        <v>522</v>
      </c>
      <c r="B374" s="19" t="s">
        <v>496</v>
      </c>
      <c r="C374" s="19" t="s">
        <v>475</v>
      </c>
      <c r="D374" s="19" t="s">
        <v>503</v>
      </c>
      <c r="E374" s="19">
        <v>9822358874</v>
      </c>
      <c r="F374" s="19" t="s">
        <v>342</v>
      </c>
      <c r="G374" s="19" t="s">
        <v>370</v>
      </c>
      <c r="H374" s="19">
        <v>1602.24</v>
      </c>
      <c r="I374" s="19">
        <v>13</v>
      </c>
      <c r="J374" s="19">
        <v>3082.85</v>
      </c>
      <c r="K374" s="19" t="s">
        <v>515</v>
      </c>
      <c r="L374" s="19">
        <v>20829.12</v>
      </c>
      <c r="M374" s="19" t="s">
        <v>479</v>
      </c>
      <c r="N374" s="31">
        <v>14.8</v>
      </c>
      <c r="O374" s="19"/>
      <c r="P374" s="19"/>
      <c r="Q374" s="19"/>
      <c r="R374" s="19"/>
      <c r="S374" s="19"/>
      <c r="T374" s="19"/>
      <c r="U374" s="19"/>
      <c r="V374" s="19"/>
      <c r="W374" s="19"/>
      <c r="X374" s="19"/>
      <c r="Y374" s="19"/>
      <c r="Z374" s="19"/>
    </row>
    <row r="375" spans="1:26" ht="15" thickBot="1" x14ac:dyDescent="0.35">
      <c r="A375" s="19" t="s">
        <v>523</v>
      </c>
      <c r="B375" s="19" t="s">
        <v>474</v>
      </c>
      <c r="C375" s="19" t="s">
        <v>475</v>
      </c>
      <c r="D375" s="19" t="s">
        <v>517</v>
      </c>
      <c r="E375" s="19">
        <v>9497595031</v>
      </c>
      <c r="F375" s="19" t="s">
        <v>481</v>
      </c>
      <c r="G375" s="19" t="s">
        <v>490</v>
      </c>
      <c r="H375" s="19">
        <v>592.33000000000004</v>
      </c>
      <c r="I375" s="19">
        <v>4</v>
      </c>
      <c r="J375" s="19">
        <v>539.64</v>
      </c>
      <c r="K375" s="19" t="s">
        <v>483</v>
      </c>
      <c r="L375" s="19">
        <v>2369.3200000000002</v>
      </c>
      <c r="M375" s="19" t="s">
        <v>488</v>
      </c>
      <c r="N375" s="31">
        <v>22.78</v>
      </c>
      <c r="O375" s="19"/>
      <c r="P375" s="19"/>
      <c r="Q375" s="19"/>
      <c r="R375" s="19"/>
      <c r="S375" s="19"/>
      <c r="T375" s="19"/>
      <c r="U375" s="19"/>
      <c r="V375" s="19"/>
      <c r="W375" s="19"/>
      <c r="X375" s="19"/>
      <c r="Y375" s="19"/>
      <c r="Z375" s="19"/>
    </row>
    <row r="376" spans="1:26" ht="15" thickBot="1" x14ac:dyDescent="0.35">
      <c r="A376" s="19" t="s">
        <v>524</v>
      </c>
      <c r="B376" s="19" t="s">
        <v>485</v>
      </c>
      <c r="C376" s="19" t="s">
        <v>475</v>
      </c>
      <c r="D376" s="19" t="s">
        <v>505</v>
      </c>
      <c r="E376" s="19">
        <v>9781615192</v>
      </c>
      <c r="F376" s="19" t="s">
        <v>342</v>
      </c>
      <c r="G376" s="19" t="s">
        <v>512</v>
      </c>
      <c r="H376" s="19">
        <v>589.14</v>
      </c>
      <c r="I376" s="19">
        <v>8</v>
      </c>
      <c r="J376" s="19">
        <v>1252.56</v>
      </c>
      <c r="K376" s="19" t="s">
        <v>491</v>
      </c>
      <c r="L376" s="19">
        <v>4713.12</v>
      </c>
      <c r="M376" s="19" t="s">
        <v>488</v>
      </c>
      <c r="N376" s="31">
        <v>26.58</v>
      </c>
      <c r="O376" s="19"/>
      <c r="P376" s="19"/>
      <c r="Q376" s="19"/>
      <c r="R376" s="19"/>
      <c r="S376" s="19"/>
      <c r="T376" s="19"/>
      <c r="U376" s="19"/>
      <c r="V376" s="19"/>
      <c r="W376" s="19"/>
      <c r="X376" s="19"/>
      <c r="Y376" s="19"/>
      <c r="Z376" s="19"/>
    </row>
    <row r="377" spans="1:26" ht="15" thickBot="1" x14ac:dyDescent="0.35">
      <c r="A377" s="19" t="s">
        <v>525</v>
      </c>
      <c r="B377" s="19" t="s">
        <v>508</v>
      </c>
      <c r="C377" s="19" t="s">
        <v>475</v>
      </c>
      <c r="D377" s="19" t="s">
        <v>517</v>
      </c>
      <c r="E377" s="19">
        <v>9310431691</v>
      </c>
      <c r="F377" s="19" t="s">
        <v>481</v>
      </c>
      <c r="G377" s="19" t="s">
        <v>499</v>
      </c>
      <c r="H377" s="19">
        <v>2354.6</v>
      </c>
      <c r="I377" s="19">
        <v>4</v>
      </c>
      <c r="J377" s="19">
        <v>2575.4299999999998</v>
      </c>
      <c r="K377" s="19" t="s">
        <v>343</v>
      </c>
      <c r="L377" s="19">
        <v>9418.4</v>
      </c>
      <c r="M377" s="19" t="s">
        <v>492</v>
      </c>
      <c r="N377" s="31">
        <v>27.34</v>
      </c>
      <c r="O377" s="19"/>
      <c r="P377" s="19"/>
      <c r="Q377" s="19"/>
      <c r="R377" s="19"/>
      <c r="S377" s="19"/>
      <c r="T377" s="19"/>
      <c r="U377" s="19"/>
      <c r="V377" s="19"/>
      <c r="W377" s="19"/>
      <c r="X377" s="19"/>
      <c r="Y377" s="19"/>
      <c r="Z377" s="19"/>
    </row>
    <row r="378" spans="1:26" ht="15" thickBot="1" x14ac:dyDescent="0.35">
      <c r="A378" s="19" t="s">
        <v>526</v>
      </c>
      <c r="B378" s="19" t="s">
        <v>496</v>
      </c>
      <c r="C378" s="19" t="s">
        <v>475</v>
      </c>
      <c r="D378" s="19" t="s">
        <v>517</v>
      </c>
      <c r="E378" s="19">
        <v>9375633062</v>
      </c>
      <c r="F378" s="19" t="s">
        <v>342</v>
      </c>
      <c r="G378" s="19" t="s">
        <v>364</v>
      </c>
      <c r="H378" s="19">
        <v>1920.55</v>
      </c>
      <c r="I378" s="19">
        <v>6</v>
      </c>
      <c r="J378" s="19">
        <v>2254.59</v>
      </c>
      <c r="K378" s="19" t="s">
        <v>343</v>
      </c>
      <c r="L378" s="19">
        <v>11523.3</v>
      </c>
      <c r="M378" s="19" t="s">
        <v>479</v>
      </c>
      <c r="N378" s="31">
        <v>19.57</v>
      </c>
      <c r="O378" s="19"/>
      <c r="P378" s="19"/>
      <c r="Q378" s="19"/>
      <c r="R378" s="19"/>
      <c r="S378" s="19"/>
      <c r="T378" s="19"/>
      <c r="U378" s="19"/>
      <c r="V378" s="19"/>
      <c r="W378" s="19"/>
      <c r="X378" s="19"/>
      <c r="Y378" s="19"/>
      <c r="Z378" s="19"/>
    </row>
    <row r="379" spans="1:26" ht="15" thickBot="1" x14ac:dyDescent="0.35">
      <c r="A379" s="19" t="s">
        <v>527</v>
      </c>
      <c r="B379" s="19" t="s">
        <v>496</v>
      </c>
      <c r="C379" s="19" t="s">
        <v>475</v>
      </c>
      <c r="D379" s="19" t="s">
        <v>486</v>
      </c>
      <c r="E379" s="19">
        <v>9958467371</v>
      </c>
      <c r="F379" s="19" t="s">
        <v>477</v>
      </c>
      <c r="G379" s="19" t="s">
        <v>362</v>
      </c>
      <c r="H379" s="19">
        <v>1086.4100000000001</v>
      </c>
      <c r="I379" s="19">
        <v>7</v>
      </c>
      <c r="J379" s="19">
        <v>2066.7600000000002</v>
      </c>
      <c r="K379" s="19" t="s">
        <v>343</v>
      </c>
      <c r="L379" s="19">
        <v>7604.87</v>
      </c>
      <c r="M379" s="19" t="s">
        <v>492</v>
      </c>
      <c r="N379" s="31">
        <v>27.18</v>
      </c>
      <c r="O379" s="19"/>
      <c r="P379" s="19"/>
      <c r="Q379" s="19"/>
      <c r="R379" s="19"/>
      <c r="S379" s="19"/>
      <c r="T379" s="19"/>
      <c r="U379" s="19"/>
      <c r="V379" s="19"/>
      <c r="W379" s="19"/>
      <c r="X379" s="19"/>
      <c r="Y379" s="19"/>
      <c r="Z379" s="19"/>
    </row>
    <row r="380" spans="1:26" ht="15" thickBot="1" x14ac:dyDescent="0.35">
      <c r="A380" s="19" t="s">
        <v>528</v>
      </c>
      <c r="B380" s="19" t="s">
        <v>496</v>
      </c>
      <c r="C380" s="19" t="s">
        <v>475</v>
      </c>
      <c r="D380" s="19" t="s">
        <v>486</v>
      </c>
      <c r="E380" s="19">
        <v>9485913642</v>
      </c>
      <c r="F380" s="19" t="s">
        <v>481</v>
      </c>
      <c r="G380" s="19" t="s">
        <v>401</v>
      </c>
      <c r="H380" s="19">
        <v>1181.07</v>
      </c>
      <c r="I380" s="19">
        <v>13</v>
      </c>
      <c r="J380" s="19">
        <v>3821.07</v>
      </c>
      <c r="K380" s="19" t="s">
        <v>491</v>
      </c>
      <c r="L380" s="19">
        <v>15353.91</v>
      </c>
      <c r="M380" s="19" t="s">
        <v>479</v>
      </c>
      <c r="N380" s="31">
        <v>24.89</v>
      </c>
      <c r="O380" s="19"/>
      <c r="P380" s="19"/>
      <c r="Q380" s="19"/>
      <c r="R380" s="19"/>
      <c r="S380" s="19"/>
      <c r="T380" s="19"/>
      <c r="U380" s="19"/>
      <c r="V380" s="19"/>
      <c r="W380" s="19"/>
      <c r="X380" s="19"/>
      <c r="Y380" s="19"/>
      <c r="Z380" s="19"/>
    </row>
    <row r="381" spans="1:26" ht="15" thickBot="1" x14ac:dyDescent="0.35">
      <c r="A381" s="19" t="s">
        <v>529</v>
      </c>
      <c r="B381" s="19" t="s">
        <v>496</v>
      </c>
      <c r="C381" s="19" t="s">
        <v>475</v>
      </c>
      <c r="D381" s="19" t="s">
        <v>517</v>
      </c>
      <c r="E381" s="19">
        <v>9942727052</v>
      </c>
      <c r="F381" s="19" t="s">
        <v>481</v>
      </c>
      <c r="G381" s="19" t="s">
        <v>530</v>
      </c>
      <c r="H381" s="19">
        <v>2521.1999999999998</v>
      </c>
      <c r="I381" s="19">
        <v>8</v>
      </c>
      <c r="J381" s="19">
        <v>6046.68</v>
      </c>
      <c r="K381" s="19" t="s">
        <v>343</v>
      </c>
      <c r="L381" s="19">
        <v>20169.599999999999</v>
      </c>
      <c r="M381" s="19" t="s">
        <v>479</v>
      </c>
      <c r="N381" s="31">
        <v>29.98</v>
      </c>
      <c r="O381" s="19"/>
      <c r="P381" s="19"/>
      <c r="Q381" s="19"/>
      <c r="R381" s="19"/>
      <c r="S381" s="19"/>
      <c r="T381" s="19"/>
      <c r="U381" s="19"/>
      <c r="V381" s="19"/>
      <c r="W381" s="19"/>
      <c r="X381" s="19"/>
      <c r="Y381" s="19"/>
      <c r="Z381" s="19"/>
    </row>
    <row r="382" spans="1:26" ht="15" thickBot="1" x14ac:dyDescent="0.35">
      <c r="A382" s="19" t="s">
        <v>531</v>
      </c>
      <c r="B382" s="19" t="s">
        <v>485</v>
      </c>
      <c r="C382" s="19" t="s">
        <v>475</v>
      </c>
      <c r="D382" s="19" t="s">
        <v>503</v>
      </c>
      <c r="E382" s="19">
        <v>9164209990</v>
      </c>
      <c r="F382" s="19" t="s">
        <v>477</v>
      </c>
      <c r="G382" s="19" t="s">
        <v>355</v>
      </c>
      <c r="H382" s="19">
        <v>1741.71</v>
      </c>
      <c r="I382" s="19">
        <v>15</v>
      </c>
      <c r="J382" s="19">
        <v>4026.14</v>
      </c>
      <c r="K382" s="19" t="s">
        <v>358</v>
      </c>
      <c r="L382" s="19">
        <v>26125.65</v>
      </c>
      <c r="M382" s="19" t="s">
        <v>479</v>
      </c>
      <c r="N382" s="31">
        <v>15.41</v>
      </c>
      <c r="O382" s="19"/>
      <c r="P382" s="19"/>
      <c r="Q382" s="19"/>
      <c r="R382" s="19"/>
      <c r="S382" s="19"/>
      <c r="T382" s="19"/>
      <c r="U382" s="19"/>
      <c r="V382" s="19"/>
      <c r="W382" s="19"/>
      <c r="X382" s="19"/>
      <c r="Y382" s="19"/>
      <c r="Z382" s="19"/>
    </row>
    <row r="383" spans="1:26" ht="15" thickBot="1" x14ac:dyDescent="0.35">
      <c r="A383" s="19" t="s">
        <v>532</v>
      </c>
      <c r="B383" s="19" t="s">
        <v>485</v>
      </c>
      <c r="C383" s="19" t="s">
        <v>475</v>
      </c>
      <c r="D383" s="19" t="s">
        <v>517</v>
      </c>
      <c r="E383" s="19">
        <v>9972130283</v>
      </c>
      <c r="F383" s="19" t="s">
        <v>481</v>
      </c>
      <c r="G383" s="19" t="s">
        <v>490</v>
      </c>
      <c r="H383" s="19">
        <v>1691.18</v>
      </c>
      <c r="I383" s="19">
        <v>9</v>
      </c>
      <c r="J383" s="19">
        <v>3286.83</v>
      </c>
      <c r="K383" s="19" t="s">
        <v>483</v>
      </c>
      <c r="L383" s="19">
        <v>15220.62</v>
      </c>
      <c r="M383" s="19" t="s">
        <v>479</v>
      </c>
      <c r="N383" s="31">
        <v>21.59</v>
      </c>
      <c r="O383" s="19"/>
      <c r="P383" s="19"/>
      <c r="Q383" s="19"/>
      <c r="R383" s="19"/>
      <c r="S383" s="19"/>
      <c r="T383" s="19"/>
      <c r="U383" s="19"/>
      <c r="V383" s="19"/>
      <c r="W383" s="19"/>
      <c r="X383" s="19"/>
      <c r="Y383" s="19"/>
      <c r="Z383" s="19"/>
    </row>
    <row r="384" spans="1:26" ht="15" thickBot="1" x14ac:dyDescent="0.35">
      <c r="A384" s="19" t="s">
        <v>533</v>
      </c>
      <c r="B384" s="19" t="s">
        <v>485</v>
      </c>
      <c r="C384" s="19" t="s">
        <v>475</v>
      </c>
      <c r="D384" s="19" t="s">
        <v>517</v>
      </c>
      <c r="E384" s="19">
        <v>9305312346</v>
      </c>
      <c r="F384" s="19" t="s">
        <v>477</v>
      </c>
      <c r="G384" s="19" t="s">
        <v>514</v>
      </c>
      <c r="H384" s="19">
        <v>2430.4899999999998</v>
      </c>
      <c r="I384" s="19">
        <v>1</v>
      </c>
      <c r="J384" s="19">
        <v>538.34</v>
      </c>
      <c r="K384" s="19" t="s">
        <v>515</v>
      </c>
      <c r="L384" s="19">
        <v>2430.4899999999998</v>
      </c>
      <c r="M384" s="19" t="s">
        <v>488</v>
      </c>
      <c r="N384" s="31">
        <v>22.15</v>
      </c>
      <c r="O384" s="19"/>
      <c r="P384" s="19"/>
      <c r="Q384" s="19"/>
      <c r="R384" s="19"/>
      <c r="S384" s="19"/>
      <c r="T384" s="19"/>
      <c r="U384" s="19"/>
      <c r="V384" s="19"/>
      <c r="W384" s="19"/>
      <c r="X384" s="19"/>
      <c r="Y384" s="19"/>
      <c r="Z384" s="19"/>
    </row>
    <row r="385" spans="1:26" ht="15" thickBot="1" x14ac:dyDescent="0.35">
      <c r="A385" s="19" t="s">
        <v>534</v>
      </c>
      <c r="B385" s="19" t="s">
        <v>474</v>
      </c>
      <c r="C385" s="19" t="s">
        <v>475</v>
      </c>
      <c r="D385" s="19" t="s">
        <v>517</v>
      </c>
      <c r="E385" s="19">
        <v>9403336927</v>
      </c>
      <c r="F385" s="19" t="s">
        <v>477</v>
      </c>
      <c r="G385" s="19" t="s">
        <v>362</v>
      </c>
      <c r="H385" s="19">
        <v>1937.5</v>
      </c>
      <c r="I385" s="19">
        <v>10</v>
      </c>
      <c r="J385" s="19">
        <v>2548.08</v>
      </c>
      <c r="K385" s="19" t="s">
        <v>358</v>
      </c>
      <c r="L385" s="19">
        <v>19375</v>
      </c>
      <c r="M385" s="19" t="s">
        <v>479</v>
      </c>
      <c r="N385" s="31">
        <v>13.15</v>
      </c>
      <c r="O385" s="19"/>
      <c r="P385" s="19"/>
      <c r="Q385" s="19"/>
      <c r="R385" s="19"/>
      <c r="S385" s="19"/>
      <c r="T385" s="19"/>
      <c r="U385" s="19"/>
      <c r="V385" s="19"/>
      <c r="W385" s="19"/>
      <c r="X385" s="19"/>
      <c r="Y385" s="19"/>
      <c r="Z385" s="19"/>
    </row>
    <row r="386" spans="1:26" ht="15" thickBot="1" x14ac:dyDescent="0.35">
      <c r="A386" s="19" t="s">
        <v>535</v>
      </c>
      <c r="B386" s="19" t="s">
        <v>508</v>
      </c>
      <c r="C386" s="19" t="s">
        <v>475</v>
      </c>
      <c r="D386" s="19" t="s">
        <v>476</v>
      </c>
      <c r="E386" s="19">
        <v>9209432112</v>
      </c>
      <c r="F386" s="19" t="s">
        <v>477</v>
      </c>
      <c r="G386" s="19" t="s">
        <v>487</v>
      </c>
      <c r="H386" s="19">
        <v>2848.61</v>
      </c>
      <c r="I386" s="19">
        <v>15</v>
      </c>
      <c r="J386" s="19">
        <v>6188.69</v>
      </c>
      <c r="K386" s="19" t="s">
        <v>515</v>
      </c>
      <c r="L386" s="19">
        <v>42729.15</v>
      </c>
      <c r="M386" s="19" t="s">
        <v>479</v>
      </c>
      <c r="N386" s="31">
        <v>14.48</v>
      </c>
      <c r="O386" s="19"/>
      <c r="P386" s="19"/>
      <c r="Q386" s="19"/>
      <c r="R386" s="19"/>
      <c r="S386" s="19"/>
      <c r="T386" s="19"/>
      <c r="U386" s="19"/>
      <c r="V386" s="19"/>
      <c r="W386" s="19"/>
      <c r="X386" s="19"/>
      <c r="Y386" s="19"/>
      <c r="Z386" s="19"/>
    </row>
    <row r="387" spans="1:26" ht="15" thickBot="1" x14ac:dyDescent="0.35">
      <c r="A387" s="19" t="s">
        <v>536</v>
      </c>
      <c r="B387" s="19" t="s">
        <v>508</v>
      </c>
      <c r="C387" s="19" t="s">
        <v>475</v>
      </c>
      <c r="D387" s="19" t="s">
        <v>501</v>
      </c>
      <c r="E387" s="19">
        <v>92886736565</v>
      </c>
      <c r="F387" s="19" t="s">
        <v>481</v>
      </c>
      <c r="G387" s="19" t="s">
        <v>530</v>
      </c>
      <c r="H387" s="19">
        <v>537.01</v>
      </c>
      <c r="I387" s="19">
        <v>15</v>
      </c>
      <c r="J387" s="19">
        <v>848.33</v>
      </c>
      <c r="K387" s="19" t="s">
        <v>515</v>
      </c>
      <c r="L387" s="19">
        <v>8055.15</v>
      </c>
      <c r="M387" s="19" t="s">
        <v>492</v>
      </c>
      <c r="N387" s="31">
        <v>10.53</v>
      </c>
      <c r="O387" s="19"/>
      <c r="P387" s="19"/>
      <c r="Q387" s="19"/>
      <c r="R387" s="19"/>
      <c r="S387" s="19"/>
      <c r="T387" s="19"/>
      <c r="U387" s="19"/>
      <c r="V387" s="19"/>
      <c r="W387" s="19"/>
      <c r="X387" s="19"/>
      <c r="Y387" s="19"/>
      <c r="Z387" s="19"/>
    </row>
    <row r="388" spans="1:26" ht="15" thickBot="1" x14ac:dyDescent="0.35">
      <c r="A388" s="19" t="s">
        <v>537</v>
      </c>
      <c r="B388" s="19" t="s">
        <v>496</v>
      </c>
      <c r="C388" s="19" t="s">
        <v>475</v>
      </c>
      <c r="D388" s="19" t="s">
        <v>476</v>
      </c>
      <c r="E388" s="19">
        <v>9696039067</v>
      </c>
      <c r="F388" s="19" t="s">
        <v>481</v>
      </c>
      <c r="G388" s="19" t="s">
        <v>490</v>
      </c>
      <c r="H388" s="19">
        <v>2052.79</v>
      </c>
      <c r="I388" s="19">
        <v>1</v>
      </c>
      <c r="J388" s="19">
        <v>296.79000000000002</v>
      </c>
      <c r="K388" s="19" t="s">
        <v>483</v>
      </c>
      <c r="L388" s="19">
        <v>2052.79</v>
      </c>
      <c r="M388" s="19" t="s">
        <v>488</v>
      </c>
      <c r="N388" s="31">
        <v>14.46</v>
      </c>
      <c r="O388" s="19"/>
      <c r="P388" s="19"/>
      <c r="Q388" s="19"/>
      <c r="R388" s="19"/>
      <c r="S388" s="19"/>
      <c r="T388" s="19"/>
      <c r="U388" s="19"/>
      <c r="V388" s="19"/>
      <c r="W388" s="19"/>
      <c r="X388" s="19"/>
      <c r="Y388" s="19"/>
      <c r="Z388" s="19"/>
    </row>
    <row r="389" spans="1:26" ht="15" thickBot="1" x14ac:dyDescent="0.35">
      <c r="A389" s="19" t="s">
        <v>538</v>
      </c>
      <c r="B389" s="19" t="s">
        <v>496</v>
      </c>
      <c r="C389" s="19" t="s">
        <v>475</v>
      </c>
      <c r="D389" s="19" t="s">
        <v>501</v>
      </c>
      <c r="E389" s="19">
        <v>9729755086</v>
      </c>
      <c r="F389" s="19" t="s">
        <v>477</v>
      </c>
      <c r="G389" s="19" t="s">
        <v>514</v>
      </c>
      <c r="H389" s="19">
        <v>1708.1</v>
      </c>
      <c r="I389" s="19">
        <v>3</v>
      </c>
      <c r="J389" s="19">
        <v>897.22</v>
      </c>
      <c r="K389" s="19" t="s">
        <v>343</v>
      </c>
      <c r="L389" s="19">
        <v>5124.3</v>
      </c>
      <c r="M389" s="19" t="s">
        <v>492</v>
      </c>
      <c r="N389" s="31">
        <v>17.510000000000002</v>
      </c>
      <c r="O389" s="19"/>
      <c r="P389" s="19"/>
      <c r="Q389" s="19"/>
      <c r="R389" s="19"/>
      <c r="S389" s="19"/>
      <c r="T389" s="19"/>
      <c r="U389" s="19"/>
      <c r="V389" s="19"/>
      <c r="W389" s="19"/>
      <c r="X389" s="19"/>
      <c r="Y389" s="19"/>
      <c r="Z389" s="19"/>
    </row>
    <row r="390" spans="1:26" ht="15" thickBot="1" x14ac:dyDescent="0.35">
      <c r="A390" s="19" t="s">
        <v>539</v>
      </c>
      <c r="B390" s="19" t="s">
        <v>496</v>
      </c>
      <c r="C390" s="19" t="s">
        <v>475</v>
      </c>
      <c r="D390" s="19" t="s">
        <v>517</v>
      </c>
      <c r="E390" s="19">
        <v>9291717779</v>
      </c>
      <c r="F390" s="19" t="s">
        <v>342</v>
      </c>
      <c r="G390" s="19" t="s">
        <v>370</v>
      </c>
      <c r="H390" s="19">
        <v>1616.55</v>
      </c>
      <c r="I390" s="19">
        <v>14</v>
      </c>
      <c r="J390" s="19">
        <v>6621.29</v>
      </c>
      <c r="K390" s="19" t="s">
        <v>343</v>
      </c>
      <c r="L390" s="19">
        <v>22631.7</v>
      </c>
      <c r="M390" s="19" t="s">
        <v>479</v>
      </c>
      <c r="N390" s="31">
        <v>29.26</v>
      </c>
      <c r="O390" s="19"/>
      <c r="P390" s="19"/>
      <c r="Q390" s="19"/>
      <c r="R390" s="19"/>
      <c r="S390" s="19"/>
      <c r="T390" s="19"/>
      <c r="U390" s="19"/>
      <c r="V390" s="19"/>
      <c r="W390" s="19"/>
      <c r="X390" s="19"/>
      <c r="Y390" s="19"/>
      <c r="Z390" s="19"/>
    </row>
    <row r="391" spans="1:26" ht="15" thickBot="1" x14ac:dyDescent="0.35">
      <c r="A391" s="19" t="s">
        <v>540</v>
      </c>
      <c r="B391" s="19" t="s">
        <v>496</v>
      </c>
      <c r="C391" s="19" t="s">
        <v>475</v>
      </c>
      <c r="D391" s="19" t="s">
        <v>476</v>
      </c>
      <c r="E391" s="19">
        <v>9596984707</v>
      </c>
      <c r="F391" s="19" t="s">
        <v>477</v>
      </c>
      <c r="G391" s="19" t="s">
        <v>355</v>
      </c>
      <c r="H391" s="19">
        <v>1774.62</v>
      </c>
      <c r="I391" s="19">
        <v>7</v>
      </c>
      <c r="J391" s="19">
        <v>3378.16</v>
      </c>
      <c r="K391" s="19" t="s">
        <v>343</v>
      </c>
      <c r="L391" s="19">
        <v>12422.34</v>
      </c>
      <c r="M391" s="19" t="s">
        <v>479</v>
      </c>
      <c r="N391" s="31">
        <v>27.19</v>
      </c>
      <c r="O391" s="19"/>
      <c r="P391" s="19"/>
      <c r="Q391" s="19"/>
      <c r="R391" s="19"/>
      <c r="S391" s="19"/>
      <c r="T391" s="19"/>
      <c r="U391" s="19"/>
      <c r="V391" s="19"/>
      <c r="W391" s="19"/>
      <c r="X391" s="19"/>
      <c r="Y391" s="19"/>
      <c r="Z391" s="19"/>
    </row>
    <row r="392" spans="1:26" ht="15" thickBot="1" x14ac:dyDescent="0.35">
      <c r="A392" s="19" t="s">
        <v>541</v>
      </c>
      <c r="B392" s="19" t="s">
        <v>485</v>
      </c>
      <c r="C392" s="19" t="s">
        <v>475</v>
      </c>
      <c r="D392" s="19" t="s">
        <v>503</v>
      </c>
      <c r="E392" s="19">
        <v>9621477109</v>
      </c>
      <c r="F392" s="19" t="s">
        <v>342</v>
      </c>
      <c r="G392" s="19" t="s">
        <v>364</v>
      </c>
      <c r="H392" s="19">
        <v>644.14</v>
      </c>
      <c r="I392" s="19">
        <v>12</v>
      </c>
      <c r="J392" s="19">
        <v>988.52</v>
      </c>
      <c r="K392" s="19" t="s">
        <v>491</v>
      </c>
      <c r="L392" s="19">
        <v>7729.68</v>
      </c>
      <c r="M392" s="19" t="s">
        <v>492</v>
      </c>
      <c r="N392" s="31">
        <v>12.79</v>
      </c>
      <c r="O392" s="19"/>
      <c r="P392" s="19"/>
      <c r="Q392" s="19"/>
      <c r="R392" s="19"/>
      <c r="S392" s="19"/>
      <c r="T392" s="19"/>
      <c r="U392" s="19"/>
      <c r="V392" s="19"/>
      <c r="W392" s="19"/>
      <c r="X392" s="19"/>
      <c r="Y392" s="19"/>
      <c r="Z392" s="19"/>
    </row>
    <row r="393" spans="1:26" ht="15" thickBot="1" x14ac:dyDescent="0.35">
      <c r="A393" s="19" t="s">
        <v>542</v>
      </c>
      <c r="B393" s="19" t="s">
        <v>485</v>
      </c>
      <c r="C393" s="19" t="s">
        <v>475</v>
      </c>
      <c r="D393" s="19" t="s">
        <v>486</v>
      </c>
      <c r="E393" s="19">
        <v>9813614929</v>
      </c>
      <c r="F393" s="19" t="s">
        <v>481</v>
      </c>
      <c r="G393" s="19" t="s">
        <v>490</v>
      </c>
      <c r="H393" s="19">
        <v>1767.47</v>
      </c>
      <c r="I393" s="19">
        <v>13</v>
      </c>
      <c r="J393" s="19">
        <v>3353.4</v>
      </c>
      <c r="K393" s="19" t="s">
        <v>358</v>
      </c>
      <c r="L393" s="19">
        <v>22977.11</v>
      </c>
      <c r="M393" s="19" t="s">
        <v>479</v>
      </c>
      <c r="N393" s="31">
        <v>14.59</v>
      </c>
      <c r="O393" s="19"/>
      <c r="P393" s="19"/>
      <c r="Q393" s="19"/>
      <c r="R393" s="19"/>
      <c r="S393" s="19"/>
      <c r="T393" s="19"/>
      <c r="U393" s="19"/>
      <c r="V393" s="19"/>
      <c r="W393" s="19"/>
      <c r="X393" s="19"/>
      <c r="Y393" s="19"/>
      <c r="Z393" s="19"/>
    </row>
    <row r="394" spans="1:26" ht="15" thickBot="1" x14ac:dyDescent="0.35">
      <c r="A394" s="19" t="s">
        <v>543</v>
      </c>
      <c r="B394" s="19" t="s">
        <v>496</v>
      </c>
      <c r="C394" s="19" t="s">
        <v>475</v>
      </c>
      <c r="D394" s="19" t="s">
        <v>497</v>
      </c>
      <c r="E394" s="19">
        <v>9314930259</v>
      </c>
      <c r="F394" s="19" t="s">
        <v>477</v>
      </c>
      <c r="G394" s="19" t="s">
        <v>362</v>
      </c>
      <c r="H394" s="19">
        <v>2506.6</v>
      </c>
      <c r="I394" s="19">
        <v>11</v>
      </c>
      <c r="J394" s="19">
        <v>8011.16</v>
      </c>
      <c r="K394" s="19" t="s">
        <v>358</v>
      </c>
      <c r="L394" s="19">
        <v>27572.6</v>
      </c>
      <c r="M394" s="19" t="s">
        <v>479</v>
      </c>
      <c r="N394" s="31">
        <v>29.05</v>
      </c>
      <c r="O394" s="19"/>
      <c r="P394" s="19"/>
      <c r="Q394" s="19"/>
      <c r="R394" s="19"/>
      <c r="S394" s="19"/>
      <c r="T394" s="19"/>
      <c r="U394" s="19"/>
      <c r="V394" s="19"/>
      <c r="W394" s="19"/>
      <c r="X394" s="19"/>
      <c r="Y394" s="19"/>
      <c r="Z394" s="19"/>
    </row>
    <row r="395" spans="1:26" ht="15" thickBot="1" x14ac:dyDescent="0.35">
      <c r="A395" s="19" t="s">
        <v>544</v>
      </c>
      <c r="B395" s="19" t="s">
        <v>474</v>
      </c>
      <c r="C395" s="19" t="s">
        <v>475</v>
      </c>
      <c r="D395" s="19" t="s">
        <v>486</v>
      </c>
      <c r="E395" s="19">
        <v>93262535688</v>
      </c>
      <c r="F395" s="19" t="s">
        <v>342</v>
      </c>
      <c r="G395" s="19" t="s">
        <v>315</v>
      </c>
      <c r="H395" s="19">
        <v>727.87</v>
      </c>
      <c r="I395" s="19">
        <v>2</v>
      </c>
      <c r="J395" s="19">
        <v>385.93</v>
      </c>
      <c r="K395" s="19" t="s">
        <v>343</v>
      </c>
      <c r="L395" s="19">
        <v>1455.74</v>
      </c>
      <c r="M395" s="19" t="s">
        <v>488</v>
      </c>
      <c r="N395" s="31">
        <v>26.51</v>
      </c>
      <c r="O395" s="19"/>
      <c r="P395" s="19"/>
      <c r="Q395" s="19"/>
      <c r="R395" s="19"/>
      <c r="S395" s="19"/>
      <c r="T395" s="19"/>
      <c r="U395" s="19"/>
      <c r="V395" s="19"/>
      <c r="W395" s="19"/>
      <c r="X395" s="19"/>
      <c r="Y395" s="19"/>
      <c r="Z395" s="19"/>
    </row>
    <row r="396" spans="1:26" ht="15" thickBot="1" x14ac:dyDescent="0.35">
      <c r="A396" s="19" t="s">
        <v>545</v>
      </c>
      <c r="B396" s="19" t="s">
        <v>474</v>
      </c>
      <c r="C396" s="19" t="s">
        <v>475</v>
      </c>
      <c r="D396" s="19" t="s">
        <v>517</v>
      </c>
      <c r="E396" s="19">
        <v>9922473225</v>
      </c>
      <c r="F396" s="19" t="s">
        <v>481</v>
      </c>
      <c r="G396" s="19" t="s">
        <v>490</v>
      </c>
      <c r="H396" s="19">
        <v>2509.39</v>
      </c>
      <c r="I396" s="19">
        <v>4</v>
      </c>
      <c r="J396" s="19">
        <v>2607.48</v>
      </c>
      <c r="K396" s="19" t="s">
        <v>343</v>
      </c>
      <c r="L396" s="19">
        <v>10037.56</v>
      </c>
      <c r="M396" s="19" t="s">
        <v>479</v>
      </c>
      <c r="N396" s="31">
        <v>25.98</v>
      </c>
      <c r="O396" s="19"/>
      <c r="P396" s="19"/>
      <c r="Q396" s="19"/>
      <c r="R396" s="19"/>
      <c r="S396" s="19"/>
      <c r="T396" s="19"/>
      <c r="U396" s="19"/>
      <c r="V396" s="19"/>
      <c r="W396" s="19"/>
      <c r="X396" s="19"/>
      <c r="Y396" s="19"/>
      <c r="Z396" s="19"/>
    </row>
    <row r="397" spans="1:26" ht="15" thickBot="1" x14ac:dyDescent="0.35">
      <c r="A397" s="19" t="s">
        <v>546</v>
      </c>
      <c r="B397" s="19" t="s">
        <v>508</v>
      </c>
      <c r="C397" s="19" t="s">
        <v>475</v>
      </c>
      <c r="D397" s="19" t="s">
        <v>505</v>
      </c>
      <c r="E397" s="19">
        <v>9435049619</v>
      </c>
      <c r="F397" s="19" t="s">
        <v>342</v>
      </c>
      <c r="G397" s="19" t="s">
        <v>512</v>
      </c>
      <c r="H397" s="19">
        <v>254.27</v>
      </c>
      <c r="I397" s="19">
        <v>5</v>
      </c>
      <c r="J397" s="19">
        <v>247.89</v>
      </c>
      <c r="K397" s="19" t="s">
        <v>483</v>
      </c>
      <c r="L397" s="19">
        <v>1271.3499999999999</v>
      </c>
      <c r="M397" s="19" t="s">
        <v>488</v>
      </c>
      <c r="N397" s="31">
        <v>19.5</v>
      </c>
      <c r="O397" s="19"/>
      <c r="P397" s="19"/>
      <c r="Q397" s="19"/>
      <c r="R397" s="19"/>
      <c r="S397" s="19"/>
      <c r="T397" s="19"/>
      <c r="U397" s="19"/>
      <c r="V397" s="19"/>
      <c r="W397" s="19"/>
      <c r="X397" s="19"/>
      <c r="Y397" s="19"/>
      <c r="Z397" s="19"/>
    </row>
    <row r="398" spans="1:26" ht="15" thickBot="1" x14ac:dyDescent="0.35">
      <c r="A398" s="19" t="s">
        <v>547</v>
      </c>
      <c r="B398" s="19" t="s">
        <v>496</v>
      </c>
      <c r="C398" s="19" t="s">
        <v>475</v>
      </c>
      <c r="D398" s="19" t="s">
        <v>517</v>
      </c>
      <c r="E398" s="19">
        <v>9139717689</v>
      </c>
      <c r="F398" s="19" t="s">
        <v>342</v>
      </c>
      <c r="G398" s="19" t="s">
        <v>315</v>
      </c>
      <c r="H398" s="19">
        <v>1104.23</v>
      </c>
      <c r="I398" s="19">
        <v>11</v>
      </c>
      <c r="J398" s="19">
        <v>1883.37</v>
      </c>
      <c r="K398" s="19" t="s">
        <v>343</v>
      </c>
      <c r="L398" s="19">
        <v>12146.53</v>
      </c>
      <c r="M398" s="19" t="s">
        <v>479</v>
      </c>
      <c r="N398" s="31">
        <v>15.51</v>
      </c>
      <c r="O398" s="19"/>
      <c r="P398" s="19"/>
      <c r="Q398" s="19"/>
      <c r="R398" s="19"/>
      <c r="S398" s="19"/>
      <c r="T398" s="19"/>
      <c r="U398" s="19"/>
      <c r="V398" s="19"/>
      <c r="W398" s="19"/>
      <c r="X398" s="19"/>
      <c r="Y398" s="19"/>
      <c r="Z398" s="19"/>
    </row>
    <row r="399" spans="1:26" ht="15" thickBot="1" x14ac:dyDescent="0.35">
      <c r="A399" s="19" t="s">
        <v>548</v>
      </c>
      <c r="B399" s="19" t="s">
        <v>485</v>
      </c>
      <c r="C399" s="19" t="s">
        <v>475</v>
      </c>
      <c r="D399" s="19" t="s">
        <v>486</v>
      </c>
      <c r="E399" s="19">
        <v>9873282041</v>
      </c>
      <c r="F399" s="19" t="s">
        <v>342</v>
      </c>
      <c r="G399" s="19" t="s">
        <v>318</v>
      </c>
      <c r="H399" s="19">
        <v>861.53</v>
      </c>
      <c r="I399" s="19">
        <v>3</v>
      </c>
      <c r="J399" s="19">
        <v>482.01</v>
      </c>
      <c r="K399" s="19" t="s">
        <v>515</v>
      </c>
      <c r="L399" s="19">
        <v>2584.59</v>
      </c>
      <c r="M399" s="19" t="s">
        <v>488</v>
      </c>
      <c r="N399" s="31">
        <v>18.649999999999999</v>
      </c>
      <c r="O399" s="19"/>
      <c r="P399" s="19"/>
      <c r="Q399" s="19"/>
      <c r="R399" s="19"/>
      <c r="S399" s="19"/>
      <c r="T399" s="19"/>
      <c r="U399" s="19"/>
      <c r="V399" s="19"/>
      <c r="W399" s="19"/>
      <c r="X399" s="19"/>
      <c r="Y399" s="19"/>
      <c r="Z399" s="19"/>
    </row>
    <row r="400" spans="1:26" ht="15" thickBot="1" x14ac:dyDescent="0.35">
      <c r="A400" s="19" t="s">
        <v>549</v>
      </c>
      <c r="B400" s="19" t="s">
        <v>508</v>
      </c>
      <c r="C400" s="19" t="s">
        <v>475</v>
      </c>
      <c r="D400" s="19" t="s">
        <v>486</v>
      </c>
      <c r="E400" s="19">
        <v>9520705759</v>
      </c>
      <c r="F400" s="19" t="s">
        <v>477</v>
      </c>
      <c r="G400" s="19" t="s">
        <v>487</v>
      </c>
      <c r="H400" s="19">
        <v>940.76</v>
      </c>
      <c r="I400" s="19">
        <v>4</v>
      </c>
      <c r="J400" s="19">
        <v>842.47</v>
      </c>
      <c r="K400" s="19" t="s">
        <v>515</v>
      </c>
      <c r="L400" s="19">
        <v>3763.04</v>
      </c>
      <c r="M400" s="19" t="s">
        <v>488</v>
      </c>
      <c r="N400" s="31">
        <v>22.39</v>
      </c>
      <c r="O400" s="19"/>
      <c r="P400" s="19"/>
      <c r="Q400" s="19"/>
      <c r="R400" s="19"/>
      <c r="S400" s="19"/>
      <c r="T400" s="19"/>
      <c r="U400" s="19"/>
      <c r="V400" s="19"/>
      <c r="W400" s="19"/>
      <c r="X400" s="19"/>
      <c r="Y400" s="19"/>
      <c r="Z400" s="19"/>
    </row>
    <row r="401" spans="1:26" ht="15" thickBot="1" x14ac:dyDescent="0.35">
      <c r="A401" s="19" t="s">
        <v>550</v>
      </c>
      <c r="B401" s="19" t="s">
        <v>496</v>
      </c>
      <c r="C401" s="19" t="s">
        <v>475</v>
      </c>
      <c r="D401" s="19" t="s">
        <v>486</v>
      </c>
      <c r="E401" s="19">
        <v>9648648568</v>
      </c>
      <c r="F401" s="19" t="s">
        <v>477</v>
      </c>
      <c r="G401" s="19" t="s">
        <v>487</v>
      </c>
      <c r="H401" s="19">
        <v>1505.5</v>
      </c>
      <c r="I401" s="19">
        <v>11</v>
      </c>
      <c r="J401" s="19">
        <v>3985.19</v>
      </c>
      <c r="K401" s="19" t="s">
        <v>515</v>
      </c>
      <c r="L401" s="19">
        <v>16560.5</v>
      </c>
      <c r="M401" s="19" t="s">
        <v>479</v>
      </c>
      <c r="N401" s="31">
        <v>24.06</v>
      </c>
      <c r="O401" s="19"/>
      <c r="P401" s="19"/>
      <c r="Q401" s="19"/>
      <c r="R401" s="19"/>
      <c r="S401" s="19"/>
      <c r="T401" s="19"/>
      <c r="U401" s="19"/>
      <c r="V401" s="19"/>
      <c r="W401" s="19"/>
      <c r="X401" s="19"/>
      <c r="Y401" s="19"/>
      <c r="Z401" s="19"/>
    </row>
    <row r="402" spans="1:26" ht="15" thickBot="1" x14ac:dyDescent="0.35">
      <c r="A402" s="19" t="s">
        <v>551</v>
      </c>
      <c r="B402" s="19" t="s">
        <v>474</v>
      </c>
      <c r="C402" s="19" t="s">
        <v>475</v>
      </c>
      <c r="D402" s="19" t="s">
        <v>517</v>
      </c>
      <c r="E402" s="19">
        <v>9416435713</v>
      </c>
      <c r="F402" s="19" t="s">
        <v>477</v>
      </c>
      <c r="G402" s="19" t="s">
        <v>355</v>
      </c>
      <c r="H402" s="19">
        <v>1477.49</v>
      </c>
      <c r="I402" s="19">
        <v>11</v>
      </c>
      <c r="J402" s="19">
        <v>2428.98</v>
      </c>
      <c r="K402" s="19" t="s">
        <v>343</v>
      </c>
      <c r="L402" s="19">
        <v>16252.39</v>
      </c>
      <c r="M402" s="19" t="s">
        <v>479</v>
      </c>
      <c r="N402" s="31">
        <v>14.95</v>
      </c>
      <c r="O402" s="19"/>
      <c r="P402" s="19"/>
      <c r="Q402" s="19"/>
      <c r="R402" s="19"/>
      <c r="S402" s="19"/>
      <c r="T402" s="19"/>
      <c r="U402" s="19"/>
      <c r="V402" s="19"/>
      <c r="W402" s="19"/>
      <c r="X402" s="19"/>
      <c r="Y402" s="19"/>
      <c r="Z402" s="19"/>
    </row>
    <row r="403" spans="1:26" ht="15" thickBot="1" x14ac:dyDescent="0.35">
      <c r="A403" s="19" t="s">
        <v>552</v>
      </c>
      <c r="B403" s="19" t="s">
        <v>496</v>
      </c>
      <c r="C403" s="19" t="s">
        <v>475</v>
      </c>
      <c r="D403" s="19" t="s">
        <v>505</v>
      </c>
      <c r="E403" s="19">
        <v>9211381294</v>
      </c>
      <c r="F403" s="19" t="s">
        <v>481</v>
      </c>
      <c r="G403" s="19" t="s">
        <v>499</v>
      </c>
      <c r="H403" s="19">
        <v>704.64</v>
      </c>
      <c r="I403" s="19">
        <v>2</v>
      </c>
      <c r="J403" s="19">
        <v>163.57</v>
      </c>
      <c r="K403" s="19" t="s">
        <v>358</v>
      </c>
      <c r="L403" s="19">
        <v>1409.28</v>
      </c>
      <c r="M403" s="19" t="s">
        <v>488</v>
      </c>
      <c r="N403" s="31">
        <v>11.61</v>
      </c>
      <c r="O403" s="19"/>
      <c r="P403" s="19"/>
      <c r="Q403" s="19"/>
      <c r="R403" s="19"/>
      <c r="S403" s="19"/>
      <c r="T403" s="19"/>
      <c r="U403" s="19"/>
      <c r="V403" s="19"/>
      <c r="W403" s="19"/>
      <c r="X403" s="19"/>
      <c r="Y403" s="19"/>
      <c r="Z403" s="19"/>
    </row>
    <row r="404" spans="1:26" ht="15" thickBot="1" x14ac:dyDescent="0.35">
      <c r="A404" s="19" t="s">
        <v>553</v>
      </c>
      <c r="B404" s="19" t="s">
        <v>508</v>
      </c>
      <c r="C404" s="19" t="s">
        <v>475</v>
      </c>
      <c r="D404" s="19" t="s">
        <v>486</v>
      </c>
      <c r="E404" s="19">
        <v>9791244114</v>
      </c>
      <c r="F404" s="19" t="s">
        <v>481</v>
      </c>
      <c r="G404" s="19" t="s">
        <v>530</v>
      </c>
      <c r="H404" s="19">
        <v>2030.2</v>
      </c>
      <c r="I404" s="19">
        <v>13</v>
      </c>
      <c r="J404" s="19">
        <v>3695.03</v>
      </c>
      <c r="K404" s="19" t="s">
        <v>483</v>
      </c>
      <c r="L404" s="19">
        <v>26392.6</v>
      </c>
      <c r="M404" s="19" t="s">
        <v>479</v>
      </c>
      <c r="N404" s="31">
        <v>14</v>
      </c>
      <c r="O404" s="19"/>
      <c r="P404" s="19"/>
      <c r="Q404" s="19"/>
      <c r="R404" s="19"/>
      <c r="S404" s="19"/>
      <c r="T404" s="19"/>
      <c r="U404" s="19"/>
      <c r="V404" s="19"/>
      <c r="W404" s="19"/>
      <c r="X404" s="19"/>
      <c r="Y404" s="19"/>
      <c r="Z404" s="19"/>
    </row>
    <row r="405" spans="1:26" ht="15" thickBot="1" x14ac:dyDescent="0.35">
      <c r="A405" s="19" t="s">
        <v>554</v>
      </c>
      <c r="B405" s="19" t="s">
        <v>474</v>
      </c>
      <c r="C405" s="19" t="s">
        <v>475</v>
      </c>
      <c r="D405" s="19" t="s">
        <v>505</v>
      </c>
      <c r="E405" s="19">
        <v>9194670146</v>
      </c>
      <c r="F405" s="19" t="s">
        <v>477</v>
      </c>
      <c r="G405" s="19" t="s">
        <v>478</v>
      </c>
      <c r="H405" s="19">
        <v>1822.28</v>
      </c>
      <c r="I405" s="19">
        <v>4</v>
      </c>
      <c r="J405" s="19">
        <v>1973.2</v>
      </c>
      <c r="K405" s="19" t="s">
        <v>491</v>
      </c>
      <c r="L405" s="19">
        <v>7289.12</v>
      </c>
      <c r="M405" s="19" t="s">
        <v>492</v>
      </c>
      <c r="N405" s="31">
        <v>27.07</v>
      </c>
      <c r="O405" s="19"/>
      <c r="P405" s="19"/>
      <c r="Q405" s="19"/>
      <c r="R405" s="19"/>
      <c r="S405" s="19"/>
      <c r="T405" s="19"/>
      <c r="U405" s="19"/>
      <c r="V405" s="19"/>
      <c r="W405" s="19"/>
      <c r="X405" s="19"/>
      <c r="Y405" s="19"/>
      <c r="Z405" s="19"/>
    </row>
    <row r="406" spans="1:26" ht="15" thickBot="1" x14ac:dyDescent="0.35">
      <c r="A406" s="19" t="s">
        <v>555</v>
      </c>
      <c r="B406" s="19" t="s">
        <v>508</v>
      </c>
      <c r="C406" s="19" t="s">
        <v>475</v>
      </c>
      <c r="D406" s="19" t="s">
        <v>501</v>
      </c>
      <c r="E406" s="19">
        <v>9519275644</v>
      </c>
      <c r="F406" s="19" t="s">
        <v>481</v>
      </c>
      <c r="G406" s="19" t="s">
        <v>490</v>
      </c>
      <c r="H406" s="19">
        <v>600.17999999999995</v>
      </c>
      <c r="I406" s="19">
        <v>11</v>
      </c>
      <c r="J406" s="19">
        <v>1525.57</v>
      </c>
      <c r="K406" s="19" t="s">
        <v>343</v>
      </c>
      <c r="L406" s="19">
        <v>6601.98</v>
      </c>
      <c r="M406" s="19" t="s">
        <v>492</v>
      </c>
      <c r="N406" s="31">
        <v>23.11</v>
      </c>
      <c r="O406" s="19"/>
      <c r="P406" s="19"/>
      <c r="Q406" s="19"/>
      <c r="R406" s="19"/>
      <c r="S406" s="19"/>
      <c r="T406" s="19"/>
      <c r="U406" s="19"/>
      <c r="V406" s="19"/>
      <c r="W406" s="19"/>
      <c r="X406" s="19"/>
      <c r="Y406" s="19"/>
      <c r="Z406" s="19"/>
    </row>
    <row r="407" spans="1:26" ht="15" thickBot="1" x14ac:dyDescent="0.35">
      <c r="A407" s="19" t="s">
        <v>556</v>
      </c>
      <c r="B407" s="19" t="s">
        <v>485</v>
      </c>
      <c r="C407" s="19" t="s">
        <v>475</v>
      </c>
      <c r="D407" s="19" t="s">
        <v>501</v>
      </c>
      <c r="E407" s="19">
        <v>9520013561</v>
      </c>
      <c r="F407" s="19" t="s">
        <v>477</v>
      </c>
      <c r="G407" s="19" t="s">
        <v>487</v>
      </c>
      <c r="H407" s="19">
        <v>2330.36</v>
      </c>
      <c r="I407" s="19">
        <v>7</v>
      </c>
      <c r="J407" s="19">
        <v>3532.26</v>
      </c>
      <c r="K407" s="19" t="s">
        <v>515</v>
      </c>
      <c r="L407" s="19">
        <v>16312.52</v>
      </c>
      <c r="M407" s="19" t="s">
        <v>479</v>
      </c>
      <c r="N407" s="31">
        <v>21.65</v>
      </c>
      <c r="O407" s="19"/>
      <c r="P407" s="19"/>
      <c r="Q407" s="19"/>
      <c r="R407" s="19"/>
      <c r="S407" s="19"/>
      <c r="T407" s="19"/>
      <c r="U407" s="19"/>
      <c r="V407" s="19"/>
      <c r="W407" s="19"/>
      <c r="X407" s="19"/>
      <c r="Y407" s="19"/>
      <c r="Z407" s="19"/>
    </row>
    <row r="408" spans="1:26" ht="15" thickBot="1" x14ac:dyDescent="0.35">
      <c r="A408" s="19" t="s">
        <v>557</v>
      </c>
      <c r="B408" s="19" t="s">
        <v>508</v>
      </c>
      <c r="C408" s="19" t="s">
        <v>475</v>
      </c>
      <c r="D408" s="19" t="s">
        <v>503</v>
      </c>
      <c r="E408" s="19">
        <v>95989895092</v>
      </c>
      <c r="F408" s="19" t="s">
        <v>342</v>
      </c>
      <c r="G408" s="19" t="s">
        <v>370</v>
      </c>
      <c r="H408" s="19">
        <v>1084.67</v>
      </c>
      <c r="I408" s="19">
        <v>13</v>
      </c>
      <c r="J408" s="19">
        <v>4140.1400000000003</v>
      </c>
      <c r="K408" s="19" t="s">
        <v>491</v>
      </c>
      <c r="L408" s="19">
        <v>14100.71</v>
      </c>
      <c r="M408" s="19" t="s">
        <v>479</v>
      </c>
      <c r="N408" s="31">
        <v>29.36</v>
      </c>
      <c r="O408" s="19"/>
      <c r="P408" s="19"/>
      <c r="Q408" s="19"/>
      <c r="R408" s="19"/>
      <c r="S408" s="19"/>
      <c r="T408" s="19"/>
      <c r="U408" s="19"/>
      <c r="V408" s="19"/>
      <c r="W408" s="19"/>
      <c r="X408" s="19"/>
      <c r="Y408" s="19"/>
      <c r="Z408" s="19"/>
    </row>
    <row r="409" spans="1:26" ht="15" thickBot="1" x14ac:dyDescent="0.35">
      <c r="A409" s="19" t="s">
        <v>558</v>
      </c>
      <c r="B409" s="19" t="s">
        <v>496</v>
      </c>
      <c r="C409" s="19" t="s">
        <v>475</v>
      </c>
      <c r="D409" s="19" t="s">
        <v>517</v>
      </c>
      <c r="E409" s="19">
        <v>9499862542</v>
      </c>
      <c r="F409" s="19" t="s">
        <v>481</v>
      </c>
      <c r="G409" s="19" t="s">
        <v>530</v>
      </c>
      <c r="H409" s="19">
        <v>1893.55</v>
      </c>
      <c r="I409" s="19">
        <v>12</v>
      </c>
      <c r="J409" s="19">
        <v>3204.64</v>
      </c>
      <c r="K409" s="19" t="s">
        <v>483</v>
      </c>
      <c r="L409" s="19">
        <v>22722.6</v>
      </c>
      <c r="M409" s="19" t="s">
        <v>479</v>
      </c>
      <c r="N409" s="31">
        <v>14.1</v>
      </c>
      <c r="O409" s="19"/>
      <c r="P409" s="19"/>
      <c r="Q409" s="19"/>
      <c r="R409" s="19"/>
      <c r="S409" s="19"/>
      <c r="T409" s="19"/>
      <c r="U409" s="19"/>
      <c r="V409" s="19"/>
      <c r="W409" s="19"/>
      <c r="X409" s="19"/>
      <c r="Y409" s="19"/>
      <c r="Z409" s="19"/>
    </row>
    <row r="410" spans="1:26" ht="15" thickBot="1" x14ac:dyDescent="0.35">
      <c r="A410" s="19" t="s">
        <v>559</v>
      </c>
      <c r="B410" s="19" t="s">
        <v>508</v>
      </c>
      <c r="C410" s="19" t="s">
        <v>475</v>
      </c>
      <c r="D410" s="19" t="s">
        <v>503</v>
      </c>
      <c r="E410" s="19">
        <v>9724136290</v>
      </c>
      <c r="F410" s="19" t="s">
        <v>481</v>
      </c>
      <c r="G410" s="19" t="s">
        <v>499</v>
      </c>
      <c r="H410" s="19">
        <v>1747.22</v>
      </c>
      <c r="I410" s="19">
        <v>6</v>
      </c>
      <c r="J410" s="19">
        <v>2678.22</v>
      </c>
      <c r="K410" s="19" t="s">
        <v>491</v>
      </c>
      <c r="L410" s="19">
        <v>10483.32</v>
      </c>
      <c r="M410" s="19" t="s">
        <v>479</v>
      </c>
      <c r="N410" s="31">
        <v>25.55</v>
      </c>
      <c r="O410" s="19"/>
      <c r="P410" s="19"/>
      <c r="Q410" s="19"/>
      <c r="R410" s="19"/>
      <c r="S410" s="19"/>
      <c r="T410" s="19"/>
      <c r="U410" s="19"/>
      <c r="V410" s="19"/>
      <c r="W410" s="19"/>
      <c r="X410" s="19"/>
      <c r="Y410" s="19"/>
      <c r="Z410" s="19"/>
    </row>
    <row r="411" spans="1:26" ht="15" thickBot="1" x14ac:dyDescent="0.35">
      <c r="A411" s="19" t="s">
        <v>560</v>
      </c>
      <c r="B411" s="19" t="s">
        <v>496</v>
      </c>
      <c r="C411" s="19" t="s">
        <v>475</v>
      </c>
      <c r="D411" s="19" t="s">
        <v>503</v>
      </c>
      <c r="E411" s="19">
        <v>9321909198</v>
      </c>
      <c r="F411" s="19" t="s">
        <v>481</v>
      </c>
      <c r="G411" s="19" t="s">
        <v>401</v>
      </c>
      <c r="H411" s="19">
        <v>287.31</v>
      </c>
      <c r="I411" s="19">
        <v>8</v>
      </c>
      <c r="J411" s="19">
        <v>381.56</v>
      </c>
      <c r="K411" s="19" t="s">
        <v>515</v>
      </c>
      <c r="L411" s="19">
        <v>2298.48</v>
      </c>
      <c r="M411" s="19" t="s">
        <v>488</v>
      </c>
      <c r="N411" s="31">
        <v>16.600000000000001</v>
      </c>
      <c r="O411" s="19"/>
      <c r="P411" s="19"/>
      <c r="Q411" s="19"/>
      <c r="R411" s="19"/>
      <c r="S411" s="19"/>
      <c r="T411" s="19"/>
      <c r="U411" s="19"/>
      <c r="V411" s="19"/>
      <c r="W411" s="19"/>
      <c r="X411" s="19"/>
      <c r="Y411" s="19"/>
      <c r="Z411" s="19"/>
    </row>
    <row r="412" spans="1:26" ht="15" thickBot="1" x14ac:dyDescent="0.35">
      <c r="A412" s="19" t="s">
        <v>561</v>
      </c>
      <c r="B412" s="19" t="s">
        <v>508</v>
      </c>
      <c r="C412" s="19" t="s">
        <v>475</v>
      </c>
      <c r="D412" s="19" t="s">
        <v>501</v>
      </c>
      <c r="E412" s="19">
        <v>9760693305</v>
      </c>
      <c r="F412" s="19" t="s">
        <v>477</v>
      </c>
      <c r="G412" s="19" t="s">
        <v>478</v>
      </c>
      <c r="H412" s="19">
        <v>1700.05</v>
      </c>
      <c r="I412" s="19">
        <v>2</v>
      </c>
      <c r="J412" s="19">
        <v>383.92</v>
      </c>
      <c r="K412" s="19" t="s">
        <v>358</v>
      </c>
      <c r="L412" s="19">
        <v>3400.1</v>
      </c>
      <c r="M412" s="19" t="s">
        <v>488</v>
      </c>
      <c r="N412" s="31">
        <v>11.29</v>
      </c>
      <c r="O412" s="19"/>
      <c r="P412" s="19"/>
      <c r="Q412" s="19"/>
      <c r="R412" s="19"/>
      <c r="S412" s="19"/>
      <c r="T412" s="19"/>
      <c r="U412" s="19"/>
      <c r="V412" s="19"/>
      <c r="W412" s="19"/>
      <c r="X412" s="19"/>
      <c r="Y412" s="19"/>
      <c r="Z412" s="19"/>
    </row>
    <row r="413" spans="1:26" ht="15" thickBot="1" x14ac:dyDescent="0.35">
      <c r="A413" s="19" t="s">
        <v>562</v>
      </c>
      <c r="B413" s="19" t="s">
        <v>496</v>
      </c>
      <c r="C413" s="19" t="s">
        <v>475</v>
      </c>
      <c r="D413" s="19" t="s">
        <v>503</v>
      </c>
      <c r="E413" s="19">
        <v>9658575570</v>
      </c>
      <c r="F413" s="19" t="s">
        <v>481</v>
      </c>
      <c r="G413" s="19" t="s">
        <v>401</v>
      </c>
      <c r="H413" s="19">
        <v>1180.31</v>
      </c>
      <c r="I413" s="19">
        <v>7</v>
      </c>
      <c r="J413" s="19">
        <v>847.73</v>
      </c>
      <c r="K413" s="19" t="s">
        <v>358</v>
      </c>
      <c r="L413" s="19">
        <v>8262.17</v>
      </c>
      <c r="M413" s="19" t="s">
        <v>492</v>
      </c>
      <c r="N413" s="31">
        <v>10.26</v>
      </c>
      <c r="O413" s="19"/>
      <c r="P413" s="19"/>
      <c r="Q413" s="19"/>
      <c r="R413" s="19"/>
      <c r="S413" s="19"/>
      <c r="T413" s="19"/>
      <c r="U413" s="19"/>
      <c r="V413" s="19"/>
      <c r="W413" s="19"/>
      <c r="X413" s="19"/>
      <c r="Y413" s="19"/>
      <c r="Z413" s="19"/>
    </row>
    <row r="414" spans="1:26" ht="15" thickBot="1" x14ac:dyDescent="0.35">
      <c r="A414" s="19" t="s">
        <v>563</v>
      </c>
      <c r="B414" s="19" t="s">
        <v>485</v>
      </c>
      <c r="C414" s="19" t="s">
        <v>475</v>
      </c>
      <c r="D414" s="19" t="s">
        <v>503</v>
      </c>
      <c r="E414" s="19">
        <v>9950273824</v>
      </c>
      <c r="F414" s="19" t="s">
        <v>481</v>
      </c>
      <c r="G414" s="19" t="s">
        <v>530</v>
      </c>
      <c r="H414" s="19">
        <v>653.35</v>
      </c>
      <c r="I414" s="19">
        <v>4</v>
      </c>
      <c r="J414" s="19">
        <v>345.46</v>
      </c>
      <c r="K414" s="19" t="s">
        <v>343</v>
      </c>
      <c r="L414" s="19">
        <v>2613.4</v>
      </c>
      <c r="M414" s="19" t="s">
        <v>488</v>
      </c>
      <c r="N414" s="31">
        <v>13.22</v>
      </c>
      <c r="O414" s="19"/>
      <c r="P414" s="19"/>
      <c r="Q414" s="19"/>
      <c r="R414" s="19"/>
      <c r="S414" s="19"/>
      <c r="T414" s="19"/>
      <c r="U414" s="19"/>
      <c r="V414" s="19"/>
      <c r="W414" s="19"/>
      <c r="X414" s="19"/>
      <c r="Y414" s="19"/>
      <c r="Z414" s="19"/>
    </row>
    <row r="415" spans="1:26" ht="15" thickBot="1" x14ac:dyDescent="0.35">
      <c r="A415" s="19" t="s">
        <v>564</v>
      </c>
      <c r="B415" s="19" t="s">
        <v>485</v>
      </c>
      <c r="C415" s="19" t="s">
        <v>475</v>
      </c>
      <c r="D415" s="19" t="s">
        <v>497</v>
      </c>
      <c r="E415" s="19">
        <v>9898816813</v>
      </c>
      <c r="F415" s="19" t="s">
        <v>342</v>
      </c>
      <c r="G415" s="19" t="s">
        <v>318</v>
      </c>
      <c r="H415" s="19">
        <v>1881.74</v>
      </c>
      <c r="I415" s="19">
        <v>4</v>
      </c>
      <c r="J415" s="19">
        <v>1363.83</v>
      </c>
      <c r="K415" s="19" t="s">
        <v>515</v>
      </c>
      <c r="L415" s="19">
        <v>7526.96</v>
      </c>
      <c r="M415" s="19" t="s">
        <v>492</v>
      </c>
      <c r="N415" s="31">
        <v>18.12</v>
      </c>
      <c r="O415" s="19"/>
      <c r="P415" s="19"/>
      <c r="Q415" s="19"/>
      <c r="R415" s="19"/>
      <c r="S415" s="19"/>
      <c r="T415" s="19"/>
      <c r="U415" s="19"/>
      <c r="V415" s="19"/>
      <c r="W415" s="19"/>
      <c r="X415" s="19"/>
      <c r="Y415" s="19"/>
      <c r="Z415" s="19"/>
    </row>
    <row r="416" spans="1:26" ht="15" thickBot="1" x14ac:dyDescent="0.35">
      <c r="A416" s="19" t="s">
        <v>565</v>
      </c>
      <c r="B416" s="19" t="s">
        <v>508</v>
      </c>
      <c r="C416" s="19" t="s">
        <v>475</v>
      </c>
      <c r="D416" s="19" t="s">
        <v>505</v>
      </c>
      <c r="E416" s="19">
        <v>9571594565</v>
      </c>
      <c r="F416" s="19" t="s">
        <v>481</v>
      </c>
      <c r="G416" s="19" t="s">
        <v>482</v>
      </c>
      <c r="H416" s="19">
        <v>1206.3499999999999</v>
      </c>
      <c r="I416" s="19">
        <v>15</v>
      </c>
      <c r="J416" s="19">
        <v>2801.82</v>
      </c>
      <c r="K416" s="19" t="s">
        <v>358</v>
      </c>
      <c r="L416" s="19">
        <v>18095.25</v>
      </c>
      <c r="M416" s="19" t="s">
        <v>479</v>
      </c>
      <c r="N416" s="31">
        <v>15.48</v>
      </c>
      <c r="O416" s="19"/>
      <c r="P416" s="19"/>
      <c r="Q416" s="19"/>
      <c r="R416" s="19"/>
      <c r="S416" s="19"/>
      <c r="T416" s="19"/>
      <c r="U416" s="19"/>
      <c r="V416" s="19"/>
      <c r="W416" s="19"/>
      <c r="X416" s="19"/>
      <c r="Y416" s="19"/>
      <c r="Z416" s="19"/>
    </row>
    <row r="417" spans="1:26" ht="15" thickBot="1" x14ac:dyDescent="0.35">
      <c r="A417" s="19" t="s">
        <v>566</v>
      </c>
      <c r="B417" s="19" t="s">
        <v>485</v>
      </c>
      <c r="C417" s="19" t="s">
        <v>475</v>
      </c>
      <c r="D417" s="19" t="s">
        <v>501</v>
      </c>
      <c r="E417" s="19">
        <v>9684352160</v>
      </c>
      <c r="F417" s="19" t="s">
        <v>477</v>
      </c>
      <c r="G417" s="19" t="s">
        <v>514</v>
      </c>
      <c r="H417" s="19">
        <v>1849.95</v>
      </c>
      <c r="I417" s="19">
        <v>5</v>
      </c>
      <c r="J417" s="19">
        <v>2111.02</v>
      </c>
      <c r="K417" s="19" t="s">
        <v>515</v>
      </c>
      <c r="L417" s="19">
        <v>9249.75</v>
      </c>
      <c r="M417" s="19" t="s">
        <v>492</v>
      </c>
      <c r="N417" s="31">
        <v>22.82</v>
      </c>
      <c r="O417" s="19"/>
      <c r="P417" s="19"/>
      <c r="Q417" s="19"/>
      <c r="R417" s="19"/>
      <c r="S417" s="19"/>
      <c r="T417" s="19"/>
      <c r="U417" s="19"/>
      <c r="V417" s="19"/>
      <c r="W417" s="19"/>
      <c r="X417" s="19"/>
      <c r="Y417" s="19"/>
      <c r="Z417" s="19"/>
    </row>
    <row r="418" spans="1:26" ht="15" thickBot="1" x14ac:dyDescent="0.35">
      <c r="A418" s="19" t="s">
        <v>567</v>
      </c>
      <c r="B418" s="19" t="s">
        <v>474</v>
      </c>
      <c r="C418" s="19" t="s">
        <v>475</v>
      </c>
      <c r="D418" s="19" t="s">
        <v>486</v>
      </c>
      <c r="E418" s="19">
        <v>9845713875</v>
      </c>
      <c r="F418" s="19" t="s">
        <v>342</v>
      </c>
      <c r="G418" s="19" t="s">
        <v>315</v>
      </c>
      <c r="H418" s="19">
        <v>1896.1</v>
      </c>
      <c r="I418" s="19">
        <v>5</v>
      </c>
      <c r="J418" s="19">
        <v>2676.46</v>
      </c>
      <c r="K418" s="19" t="s">
        <v>515</v>
      </c>
      <c r="L418" s="19">
        <v>9480.5</v>
      </c>
      <c r="M418" s="19" t="s">
        <v>492</v>
      </c>
      <c r="N418" s="31">
        <v>28.23</v>
      </c>
      <c r="O418" s="19"/>
      <c r="P418" s="19"/>
      <c r="Q418" s="19"/>
      <c r="R418" s="19"/>
      <c r="S418" s="19"/>
      <c r="T418" s="19"/>
      <c r="U418" s="19"/>
      <c r="V418" s="19"/>
      <c r="W418" s="19"/>
      <c r="X418" s="19"/>
      <c r="Y418" s="19"/>
      <c r="Z418" s="19"/>
    </row>
    <row r="419" spans="1:26" ht="15" thickBot="1" x14ac:dyDescent="0.35">
      <c r="A419" s="19" t="s">
        <v>568</v>
      </c>
      <c r="B419" s="19" t="s">
        <v>485</v>
      </c>
      <c r="C419" s="19" t="s">
        <v>475</v>
      </c>
      <c r="D419" s="19" t="s">
        <v>497</v>
      </c>
      <c r="E419" s="19">
        <v>85</v>
      </c>
      <c r="F419" s="19" t="s">
        <v>481</v>
      </c>
      <c r="G419" s="19" t="s">
        <v>401</v>
      </c>
      <c r="H419" s="19">
        <v>1799.6</v>
      </c>
      <c r="I419" s="19">
        <v>6</v>
      </c>
      <c r="J419" s="19">
        <v>1551.79</v>
      </c>
      <c r="K419" s="19" t="s">
        <v>491</v>
      </c>
      <c r="L419" s="19">
        <v>10797.6</v>
      </c>
      <c r="M419" s="19" t="s">
        <v>479</v>
      </c>
      <c r="N419" s="31">
        <v>14.37</v>
      </c>
      <c r="O419" s="19"/>
      <c r="P419" s="19"/>
      <c r="Q419" s="19"/>
      <c r="R419" s="19"/>
      <c r="S419" s="19"/>
      <c r="T419" s="19"/>
      <c r="U419" s="19"/>
      <c r="V419" s="19"/>
      <c r="W419" s="19"/>
      <c r="X419" s="19"/>
      <c r="Y419" s="19"/>
      <c r="Z419" s="19"/>
    </row>
    <row r="420" spans="1:26" ht="15" thickBot="1" x14ac:dyDescent="0.35">
      <c r="A420" s="19" t="s">
        <v>569</v>
      </c>
      <c r="B420" s="19" t="s">
        <v>508</v>
      </c>
      <c r="C420" s="19" t="s">
        <v>475</v>
      </c>
      <c r="D420" s="19" t="s">
        <v>476</v>
      </c>
      <c r="E420" s="19">
        <v>9304184751</v>
      </c>
      <c r="F420" s="19" t="s">
        <v>481</v>
      </c>
      <c r="G420" s="19" t="s">
        <v>530</v>
      </c>
      <c r="H420" s="19">
        <v>1330.26</v>
      </c>
      <c r="I420" s="19">
        <v>2</v>
      </c>
      <c r="J420" s="19">
        <v>669.54</v>
      </c>
      <c r="K420" s="19" t="s">
        <v>343</v>
      </c>
      <c r="L420" s="19">
        <v>2660.52</v>
      </c>
      <c r="M420" s="19" t="s">
        <v>488</v>
      </c>
      <c r="N420" s="31">
        <v>25.17</v>
      </c>
      <c r="O420" s="19"/>
      <c r="P420" s="19"/>
      <c r="Q420" s="19"/>
      <c r="R420" s="19"/>
      <c r="S420" s="19"/>
      <c r="T420" s="19"/>
      <c r="U420" s="19"/>
      <c r="V420" s="19"/>
      <c r="W420" s="19"/>
      <c r="X420" s="19"/>
      <c r="Y420" s="19"/>
      <c r="Z420" s="19"/>
    </row>
    <row r="421" spans="1:26" ht="15" thickBot="1" x14ac:dyDescent="0.35">
      <c r="A421" s="19" t="s">
        <v>570</v>
      </c>
      <c r="B421" s="19" t="s">
        <v>508</v>
      </c>
      <c r="C421" s="19" t="s">
        <v>475</v>
      </c>
      <c r="D421" s="19" t="s">
        <v>505</v>
      </c>
      <c r="E421" s="19">
        <v>9141039856</v>
      </c>
      <c r="F421" s="19" t="s">
        <v>342</v>
      </c>
      <c r="G421" s="19" t="s">
        <v>364</v>
      </c>
      <c r="H421" s="19">
        <v>322.57</v>
      </c>
      <c r="I421" s="19">
        <v>13</v>
      </c>
      <c r="J421" s="19">
        <v>684.45</v>
      </c>
      <c r="K421" s="19" t="s">
        <v>515</v>
      </c>
      <c r="L421" s="19">
        <v>4193.41</v>
      </c>
      <c r="M421" s="19" t="s">
        <v>488</v>
      </c>
      <c r="N421" s="31">
        <v>16.32</v>
      </c>
      <c r="O421" s="19"/>
      <c r="P421" s="19"/>
      <c r="Q421" s="19"/>
      <c r="R421" s="19"/>
      <c r="S421" s="19"/>
      <c r="T421" s="19"/>
      <c r="U421" s="19"/>
      <c r="V421" s="19"/>
      <c r="W421" s="19"/>
      <c r="X421" s="19"/>
      <c r="Y421" s="19"/>
      <c r="Z421" s="19"/>
    </row>
    <row r="422" spans="1:26" ht="15" thickBot="1" x14ac:dyDescent="0.35">
      <c r="A422" s="19" t="s">
        <v>571</v>
      </c>
      <c r="B422" s="19" t="s">
        <v>496</v>
      </c>
      <c r="C422" s="19" t="s">
        <v>475</v>
      </c>
      <c r="D422" s="19" t="s">
        <v>497</v>
      </c>
      <c r="E422" s="19">
        <v>9640589740</v>
      </c>
      <c r="F422" s="19" t="s">
        <v>342</v>
      </c>
      <c r="G422" s="19" t="s">
        <v>315</v>
      </c>
      <c r="H422" s="19">
        <v>1510.41</v>
      </c>
      <c r="I422" s="19">
        <v>1</v>
      </c>
      <c r="J422" s="19">
        <v>434.79</v>
      </c>
      <c r="K422" s="19" t="s">
        <v>483</v>
      </c>
      <c r="L422" s="19">
        <v>1510.41</v>
      </c>
      <c r="M422" s="19" t="s">
        <v>488</v>
      </c>
      <c r="N422" s="31">
        <v>28.79</v>
      </c>
      <c r="O422" s="19"/>
      <c r="P422" s="19"/>
      <c r="Q422" s="19"/>
      <c r="R422" s="19"/>
      <c r="S422" s="19"/>
      <c r="T422" s="19"/>
      <c r="U422" s="19"/>
      <c r="V422" s="19"/>
      <c r="W422" s="19"/>
      <c r="X422" s="19"/>
      <c r="Y422" s="19"/>
      <c r="Z422" s="19"/>
    </row>
    <row r="423" spans="1:26" ht="15" thickBot="1" x14ac:dyDescent="0.35">
      <c r="A423" s="19" t="s">
        <v>572</v>
      </c>
      <c r="B423" s="19" t="s">
        <v>485</v>
      </c>
      <c r="C423" s="19" t="s">
        <v>475</v>
      </c>
      <c r="D423" s="19" t="s">
        <v>476</v>
      </c>
      <c r="E423" s="19">
        <v>9406517796</v>
      </c>
      <c r="F423" s="19" t="s">
        <v>477</v>
      </c>
      <c r="G423" s="19" t="s">
        <v>362</v>
      </c>
      <c r="H423" s="19">
        <v>1085.52</v>
      </c>
      <c r="I423" s="19">
        <v>4</v>
      </c>
      <c r="J423" s="19">
        <v>749.57</v>
      </c>
      <c r="K423" s="19" t="s">
        <v>343</v>
      </c>
      <c r="L423" s="19">
        <v>4342.08</v>
      </c>
      <c r="M423" s="19" t="s">
        <v>488</v>
      </c>
      <c r="N423" s="31">
        <v>17.260000000000002</v>
      </c>
      <c r="O423" s="19"/>
      <c r="P423" s="19"/>
      <c r="Q423" s="19"/>
      <c r="R423" s="19"/>
      <c r="S423" s="19"/>
      <c r="T423" s="19"/>
      <c r="U423" s="19"/>
      <c r="V423" s="19"/>
      <c r="W423" s="19"/>
      <c r="X423" s="19"/>
      <c r="Y423" s="19"/>
      <c r="Z423" s="19"/>
    </row>
    <row r="424" spans="1:26" ht="15" thickBot="1" x14ac:dyDescent="0.35">
      <c r="A424" s="19" t="s">
        <v>573</v>
      </c>
      <c r="B424" s="19" t="s">
        <v>485</v>
      </c>
      <c r="C424" s="19" t="s">
        <v>475</v>
      </c>
      <c r="D424" s="19" t="s">
        <v>501</v>
      </c>
      <c r="E424" s="19">
        <v>9606169051</v>
      </c>
      <c r="F424" s="19" t="s">
        <v>481</v>
      </c>
      <c r="G424" s="19" t="s">
        <v>482</v>
      </c>
      <c r="H424" s="19">
        <v>1441.79</v>
      </c>
      <c r="I424" s="19">
        <v>14</v>
      </c>
      <c r="J424" s="19">
        <v>3929.03</v>
      </c>
      <c r="K424" s="19" t="s">
        <v>515</v>
      </c>
      <c r="L424" s="19">
        <v>20185.060000000001</v>
      </c>
      <c r="M424" s="19" t="s">
        <v>479</v>
      </c>
      <c r="N424" s="31">
        <v>19.47</v>
      </c>
      <c r="O424" s="19"/>
      <c r="P424" s="19"/>
      <c r="Q424" s="19"/>
      <c r="R424" s="19"/>
      <c r="S424" s="19"/>
      <c r="T424" s="19"/>
      <c r="U424" s="19"/>
      <c r="V424" s="19"/>
      <c r="W424" s="19"/>
      <c r="X424" s="19"/>
      <c r="Y424" s="19"/>
      <c r="Z424" s="19"/>
    </row>
    <row r="425" spans="1:26" ht="15" thickBot="1" x14ac:dyDescent="0.35">
      <c r="A425" s="19" t="s">
        <v>574</v>
      </c>
      <c r="B425" s="19" t="s">
        <v>508</v>
      </c>
      <c r="C425" s="19" t="s">
        <v>475</v>
      </c>
      <c r="D425" s="19" t="s">
        <v>505</v>
      </c>
      <c r="E425" s="19">
        <v>9350461925</v>
      </c>
      <c r="F425" s="19" t="s">
        <v>481</v>
      </c>
      <c r="G425" s="19" t="s">
        <v>530</v>
      </c>
      <c r="H425" s="19">
        <v>686.64</v>
      </c>
      <c r="I425" s="19">
        <v>8</v>
      </c>
      <c r="J425" s="19">
        <v>878.07</v>
      </c>
      <c r="K425" s="19" t="s">
        <v>343</v>
      </c>
      <c r="L425" s="19">
        <v>5493.12</v>
      </c>
      <c r="M425" s="19" t="s">
        <v>492</v>
      </c>
      <c r="N425" s="31">
        <v>15.98</v>
      </c>
      <c r="O425" s="19"/>
      <c r="P425" s="19"/>
      <c r="Q425" s="19"/>
      <c r="R425" s="19"/>
      <c r="S425" s="19"/>
      <c r="T425" s="19"/>
      <c r="U425" s="19"/>
      <c r="V425" s="19"/>
      <c r="W425" s="19"/>
      <c r="X425" s="19"/>
      <c r="Y425" s="19"/>
      <c r="Z425" s="19"/>
    </row>
    <row r="426" spans="1:26" ht="15" thickBot="1" x14ac:dyDescent="0.35">
      <c r="A426" s="19" t="s">
        <v>575</v>
      </c>
      <c r="B426" s="19" t="s">
        <v>474</v>
      </c>
      <c r="C426" s="19" t="s">
        <v>475</v>
      </c>
      <c r="D426" s="19" t="s">
        <v>486</v>
      </c>
      <c r="E426" s="19">
        <v>9996467468</v>
      </c>
      <c r="F426" s="19" t="s">
        <v>477</v>
      </c>
      <c r="G426" s="19" t="s">
        <v>362</v>
      </c>
      <c r="H426" s="19">
        <v>2830.64</v>
      </c>
      <c r="I426" s="19">
        <v>6</v>
      </c>
      <c r="J426" s="19">
        <v>1830.75</v>
      </c>
      <c r="K426" s="19" t="s">
        <v>343</v>
      </c>
      <c r="L426" s="19">
        <v>16983.84</v>
      </c>
      <c r="M426" s="19" t="s">
        <v>479</v>
      </c>
      <c r="N426" s="31">
        <v>10.78</v>
      </c>
      <c r="O426" s="19"/>
      <c r="P426" s="19"/>
      <c r="Q426" s="19"/>
      <c r="R426" s="19"/>
      <c r="S426" s="19"/>
      <c r="T426" s="19"/>
      <c r="U426" s="19"/>
      <c r="V426" s="19"/>
      <c r="W426" s="19"/>
      <c r="X426" s="19"/>
      <c r="Y426" s="19"/>
      <c r="Z426" s="19"/>
    </row>
    <row r="427" spans="1:26" ht="15" thickBot="1" x14ac:dyDescent="0.35">
      <c r="A427" s="19" t="s">
        <v>576</v>
      </c>
      <c r="B427" s="19" t="s">
        <v>474</v>
      </c>
      <c r="C427" s="19" t="s">
        <v>475</v>
      </c>
      <c r="D427" s="19" t="s">
        <v>505</v>
      </c>
      <c r="E427" s="19">
        <v>9128345710</v>
      </c>
      <c r="F427" s="19" t="s">
        <v>342</v>
      </c>
      <c r="G427" s="19" t="s">
        <v>370</v>
      </c>
      <c r="H427" s="19">
        <v>2619.08</v>
      </c>
      <c r="I427" s="19">
        <v>6</v>
      </c>
      <c r="J427" s="19">
        <v>4245.2299999999996</v>
      </c>
      <c r="K427" s="19" t="s">
        <v>483</v>
      </c>
      <c r="L427" s="19">
        <v>15714.48</v>
      </c>
      <c r="M427" s="19" t="s">
        <v>479</v>
      </c>
      <c r="N427" s="31">
        <v>27.01</v>
      </c>
      <c r="O427" s="19"/>
      <c r="P427" s="19"/>
      <c r="Q427" s="19"/>
      <c r="R427" s="19"/>
      <c r="S427" s="19"/>
      <c r="T427" s="19"/>
      <c r="U427" s="19"/>
      <c r="V427" s="19"/>
      <c r="W427" s="19"/>
      <c r="X427" s="19"/>
      <c r="Y427" s="19"/>
      <c r="Z427" s="19"/>
    </row>
    <row r="428" spans="1:26" ht="15" thickBot="1" x14ac:dyDescent="0.35">
      <c r="A428" s="19" t="s">
        <v>577</v>
      </c>
      <c r="B428" s="19" t="s">
        <v>496</v>
      </c>
      <c r="C428" s="19" t="s">
        <v>475</v>
      </c>
      <c r="D428" s="19" t="s">
        <v>503</v>
      </c>
      <c r="E428" s="19">
        <v>9392055351</v>
      </c>
      <c r="F428" s="19" t="s">
        <v>477</v>
      </c>
      <c r="G428" s="19" t="s">
        <v>355</v>
      </c>
      <c r="H428" s="19">
        <v>503.93</v>
      </c>
      <c r="I428" s="19">
        <v>11</v>
      </c>
      <c r="J428" s="19">
        <v>1183.48</v>
      </c>
      <c r="K428" s="19" t="s">
        <v>491</v>
      </c>
      <c r="L428" s="19">
        <v>5543.23</v>
      </c>
      <c r="M428" s="19" t="s">
        <v>492</v>
      </c>
      <c r="N428" s="31">
        <v>21.35</v>
      </c>
      <c r="O428" s="19"/>
      <c r="P428" s="19"/>
      <c r="Q428" s="19"/>
      <c r="R428" s="19"/>
      <c r="S428" s="19"/>
      <c r="T428" s="19"/>
      <c r="U428" s="19"/>
      <c r="V428" s="19"/>
      <c r="W428" s="19"/>
      <c r="X428" s="19"/>
      <c r="Y428" s="19"/>
      <c r="Z428" s="19"/>
    </row>
    <row r="429" spans="1:26" ht="15" thickBot="1" x14ac:dyDescent="0.35">
      <c r="A429" s="19" t="s">
        <v>578</v>
      </c>
      <c r="B429" s="19" t="s">
        <v>485</v>
      </c>
      <c r="C429" s="19" t="s">
        <v>475</v>
      </c>
      <c r="D429" s="19" t="s">
        <v>497</v>
      </c>
      <c r="E429" s="19">
        <v>9980141994</v>
      </c>
      <c r="F429" s="19" t="s">
        <v>481</v>
      </c>
      <c r="G429" s="19" t="s">
        <v>401</v>
      </c>
      <c r="H429" s="19">
        <v>467.71</v>
      </c>
      <c r="I429" s="19">
        <v>12</v>
      </c>
      <c r="J429" s="19">
        <v>1223.23</v>
      </c>
      <c r="K429" s="19" t="s">
        <v>343</v>
      </c>
      <c r="L429" s="19">
        <v>5612.52</v>
      </c>
      <c r="M429" s="19" t="s">
        <v>492</v>
      </c>
      <c r="N429" s="31">
        <v>21.79</v>
      </c>
      <c r="O429" s="19"/>
      <c r="P429" s="19"/>
      <c r="Q429" s="19"/>
      <c r="R429" s="19"/>
      <c r="S429" s="19"/>
      <c r="T429" s="19"/>
      <c r="U429" s="19"/>
      <c r="V429" s="19"/>
      <c r="W429" s="19"/>
      <c r="X429" s="19"/>
      <c r="Y429" s="19"/>
      <c r="Z429" s="19"/>
    </row>
    <row r="430" spans="1:26" ht="15" thickBot="1" x14ac:dyDescent="0.35">
      <c r="A430" s="19" t="s">
        <v>579</v>
      </c>
      <c r="B430" s="19" t="s">
        <v>474</v>
      </c>
      <c r="C430" s="19" t="s">
        <v>475</v>
      </c>
      <c r="D430" s="19" t="s">
        <v>501</v>
      </c>
      <c r="E430" s="19">
        <v>9403999543</v>
      </c>
      <c r="F430" s="19" t="s">
        <v>481</v>
      </c>
      <c r="G430" s="19" t="s">
        <v>499</v>
      </c>
      <c r="H430" s="19">
        <v>2307.34</v>
      </c>
      <c r="I430" s="19">
        <v>14</v>
      </c>
      <c r="J430" s="19">
        <v>3571.15</v>
      </c>
      <c r="K430" s="19" t="s">
        <v>515</v>
      </c>
      <c r="L430" s="19">
        <v>32302.76</v>
      </c>
      <c r="M430" s="19" t="s">
        <v>479</v>
      </c>
      <c r="N430" s="31">
        <v>11.06</v>
      </c>
      <c r="O430" s="19"/>
      <c r="P430" s="19"/>
      <c r="Q430" s="19"/>
      <c r="R430" s="19"/>
      <c r="S430" s="19"/>
      <c r="T430" s="19"/>
      <c r="U430" s="19"/>
      <c r="V430" s="19"/>
      <c r="W430" s="19"/>
      <c r="X430" s="19"/>
      <c r="Y430" s="19"/>
      <c r="Z430" s="19"/>
    </row>
    <row r="431" spans="1:26" ht="15" thickBot="1" x14ac:dyDescent="0.35">
      <c r="A431" s="19" t="s">
        <v>580</v>
      </c>
      <c r="B431" s="19" t="s">
        <v>508</v>
      </c>
      <c r="C431" s="19" t="s">
        <v>475</v>
      </c>
      <c r="D431" s="19" t="s">
        <v>517</v>
      </c>
      <c r="E431" s="19">
        <v>9164427200</v>
      </c>
      <c r="F431" s="19" t="s">
        <v>342</v>
      </c>
      <c r="G431" s="19" t="s">
        <v>315</v>
      </c>
      <c r="H431" s="19">
        <v>1513.57</v>
      </c>
      <c r="I431" s="19">
        <v>14</v>
      </c>
      <c r="J431" s="19">
        <v>5761.18</v>
      </c>
      <c r="K431" s="19" t="s">
        <v>343</v>
      </c>
      <c r="L431" s="19">
        <v>21189.98</v>
      </c>
      <c r="M431" s="19" t="s">
        <v>479</v>
      </c>
      <c r="N431" s="31">
        <v>27.19</v>
      </c>
      <c r="O431" s="19"/>
      <c r="P431" s="19"/>
      <c r="Q431" s="19"/>
      <c r="R431" s="19"/>
      <c r="S431" s="19"/>
      <c r="T431" s="19"/>
      <c r="U431" s="19"/>
      <c r="V431" s="19"/>
      <c r="W431" s="19"/>
      <c r="X431" s="19"/>
      <c r="Y431" s="19"/>
      <c r="Z431" s="19"/>
    </row>
    <row r="432" spans="1:26" ht="15" thickBot="1" x14ac:dyDescent="0.35">
      <c r="A432" s="19" t="s">
        <v>581</v>
      </c>
      <c r="B432" s="19" t="s">
        <v>508</v>
      </c>
      <c r="C432" s="19" t="s">
        <v>475</v>
      </c>
      <c r="D432" s="19" t="s">
        <v>501</v>
      </c>
      <c r="E432" s="19">
        <v>858947</v>
      </c>
      <c r="F432" s="19" t="s">
        <v>481</v>
      </c>
      <c r="G432" s="19" t="s">
        <v>530</v>
      </c>
      <c r="H432" s="19">
        <v>2213.4499999999998</v>
      </c>
      <c r="I432" s="19">
        <v>3</v>
      </c>
      <c r="J432" s="19">
        <v>867.33</v>
      </c>
      <c r="K432" s="19" t="s">
        <v>515</v>
      </c>
      <c r="L432" s="19">
        <v>6640.35</v>
      </c>
      <c r="M432" s="19" t="s">
        <v>492</v>
      </c>
      <c r="N432" s="31">
        <v>13.06</v>
      </c>
      <c r="O432" s="19"/>
      <c r="P432" s="19"/>
      <c r="Q432" s="19"/>
      <c r="R432" s="19"/>
      <c r="S432" s="19"/>
      <c r="T432" s="19"/>
      <c r="U432" s="19"/>
      <c r="V432" s="19"/>
      <c r="W432" s="19"/>
      <c r="X432" s="19"/>
      <c r="Y432" s="19"/>
      <c r="Z432" s="19"/>
    </row>
    <row r="433" spans="1:26" ht="15" thickBot="1" x14ac:dyDescent="0.35">
      <c r="A433" s="19" t="s">
        <v>582</v>
      </c>
      <c r="B433" s="19" t="s">
        <v>485</v>
      </c>
      <c r="C433" s="19" t="s">
        <v>475</v>
      </c>
      <c r="D433" s="19" t="s">
        <v>497</v>
      </c>
      <c r="E433" s="19">
        <v>9789825611</v>
      </c>
      <c r="F433" s="19" t="s">
        <v>477</v>
      </c>
      <c r="G433" s="19" t="s">
        <v>362</v>
      </c>
      <c r="H433" s="19">
        <v>384.21</v>
      </c>
      <c r="I433" s="19">
        <v>5</v>
      </c>
      <c r="J433" s="19">
        <v>354.16</v>
      </c>
      <c r="K433" s="19" t="s">
        <v>515</v>
      </c>
      <c r="L433" s="19">
        <v>1921.05</v>
      </c>
      <c r="M433" s="19" t="s">
        <v>488</v>
      </c>
      <c r="N433" s="31">
        <v>18.440000000000001</v>
      </c>
      <c r="O433" s="19"/>
      <c r="P433" s="19"/>
      <c r="Q433" s="19"/>
      <c r="R433" s="19"/>
      <c r="S433" s="19"/>
      <c r="T433" s="19"/>
      <c r="U433" s="19"/>
      <c r="V433" s="19"/>
      <c r="W433" s="19"/>
      <c r="X433" s="19"/>
      <c r="Y433" s="19"/>
      <c r="Z433" s="19"/>
    </row>
    <row r="434" spans="1:26" ht="15" thickBot="1" x14ac:dyDescent="0.35">
      <c r="A434" s="19" t="s">
        <v>583</v>
      </c>
      <c r="B434" s="19" t="s">
        <v>496</v>
      </c>
      <c r="C434" s="19" t="s">
        <v>475</v>
      </c>
      <c r="D434" s="19" t="s">
        <v>501</v>
      </c>
      <c r="E434" s="19">
        <v>9371462183</v>
      </c>
      <c r="F434" s="19" t="s">
        <v>342</v>
      </c>
      <c r="G434" s="19" t="s">
        <v>370</v>
      </c>
      <c r="H434" s="19">
        <v>498.41</v>
      </c>
      <c r="I434" s="19">
        <v>7</v>
      </c>
      <c r="J434" s="19">
        <v>435.36</v>
      </c>
      <c r="K434" s="19" t="s">
        <v>358</v>
      </c>
      <c r="L434" s="19">
        <v>3488.87</v>
      </c>
      <c r="M434" s="19" t="s">
        <v>488</v>
      </c>
      <c r="N434" s="31">
        <v>12.48</v>
      </c>
      <c r="O434" s="19"/>
      <c r="P434" s="19"/>
      <c r="Q434" s="19"/>
      <c r="R434" s="19"/>
      <c r="S434" s="19"/>
      <c r="T434" s="19"/>
      <c r="U434" s="19"/>
      <c r="V434" s="19"/>
      <c r="W434" s="19"/>
      <c r="X434" s="19"/>
      <c r="Y434" s="19"/>
      <c r="Z434" s="19"/>
    </row>
    <row r="435" spans="1:26" ht="15" thickBot="1" x14ac:dyDescent="0.35">
      <c r="A435" s="19" t="s">
        <v>584</v>
      </c>
      <c r="B435" s="19" t="s">
        <v>508</v>
      </c>
      <c r="C435" s="19" t="s">
        <v>475</v>
      </c>
      <c r="D435" s="19" t="s">
        <v>501</v>
      </c>
      <c r="E435" s="19">
        <v>9444893207</v>
      </c>
      <c r="F435" s="19" t="s">
        <v>477</v>
      </c>
      <c r="G435" s="19" t="s">
        <v>362</v>
      </c>
      <c r="H435" s="19">
        <v>1599.24</v>
      </c>
      <c r="I435" s="19">
        <v>10</v>
      </c>
      <c r="J435" s="19">
        <v>4368.75</v>
      </c>
      <c r="K435" s="19" t="s">
        <v>358</v>
      </c>
      <c r="L435" s="19">
        <v>15992.4</v>
      </c>
      <c r="M435" s="19" t="s">
        <v>479</v>
      </c>
      <c r="N435" s="31">
        <v>27.32</v>
      </c>
      <c r="O435" s="19"/>
      <c r="P435" s="19"/>
      <c r="Q435" s="19"/>
      <c r="R435" s="19"/>
      <c r="S435" s="19"/>
      <c r="T435" s="19"/>
      <c r="U435" s="19"/>
      <c r="V435" s="19"/>
      <c r="W435" s="19"/>
      <c r="X435" s="19"/>
      <c r="Y435" s="19"/>
      <c r="Z435" s="19"/>
    </row>
    <row r="436" spans="1:26" ht="15" thickBot="1" x14ac:dyDescent="0.35">
      <c r="A436" s="19" t="s">
        <v>585</v>
      </c>
      <c r="B436" s="19" t="s">
        <v>474</v>
      </c>
      <c r="C436" s="19" t="s">
        <v>475</v>
      </c>
      <c r="D436" s="19" t="s">
        <v>505</v>
      </c>
      <c r="E436" s="19">
        <v>9339358166</v>
      </c>
      <c r="F436" s="19" t="s">
        <v>481</v>
      </c>
      <c r="G436" s="19" t="s">
        <v>490</v>
      </c>
      <c r="H436" s="19">
        <v>962.07</v>
      </c>
      <c r="I436" s="19">
        <v>9</v>
      </c>
      <c r="J436" s="19">
        <v>905.89</v>
      </c>
      <c r="K436" s="19" t="s">
        <v>358</v>
      </c>
      <c r="L436" s="19">
        <v>8658.6299999999992</v>
      </c>
      <c r="M436" s="19" t="s">
        <v>492</v>
      </c>
      <c r="N436" s="31">
        <v>10.46</v>
      </c>
      <c r="O436" s="19"/>
      <c r="P436" s="19"/>
      <c r="Q436" s="19"/>
      <c r="R436" s="19"/>
      <c r="S436" s="19"/>
      <c r="T436" s="19"/>
      <c r="U436" s="19"/>
      <c r="V436" s="19"/>
      <c r="W436" s="19"/>
      <c r="X436" s="19"/>
      <c r="Y436" s="19"/>
      <c r="Z436" s="19"/>
    </row>
    <row r="437" spans="1:26" ht="15" thickBot="1" x14ac:dyDescent="0.35">
      <c r="A437" s="19" t="s">
        <v>586</v>
      </c>
      <c r="B437" s="19" t="s">
        <v>474</v>
      </c>
      <c r="C437" s="19" t="s">
        <v>475</v>
      </c>
      <c r="D437" s="19" t="s">
        <v>486</v>
      </c>
      <c r="E437" s="19">
        <v>9119201960</v>
      </c>
      <c r="F437" s="19" t="s">
        <v>481</v>
      </c>
      <c r="G437" s="19" t="s">
        <v>401</v>
      </c>
      <c r="H437" s="19">
        <v>1673.22</v>
      </c>
      <c r="I437" s="19">
        <v>7</v>
      </c>
      <c r="J437" s="19">
        <v>1935.04</v>
      </c>
      <c r="K437" s="19" t="s">
        <v>515</v>
      </c>
      <c r="L437" s="19">
        <v>11712.54</v>
      </c>
      <c r="M437" s="19" t="s">
        <v>479</v>
      </c>
      <c r="N437" s="31">
        <v>16.52</v>
      </c>
      <c r="O437" s="19"/>
      <c r="P437" s="19"/>
      <c r="Q437" s="19"/>
      <c r="R437" s="19"/>
      <c r="S437" s="19"/>
      <c r="T437" s="19"/>
      <c r="U437" s="19"/>
      <c r="V437" s="19"/>
      <c r="W437" s="19"/>
      <c r="X437" s="19"/>
      <c r="Y437" s="19"/>
      <c r="Z437" s="19"/>
    </row>
    <row r="438" spans="1:26" ht="15" thickBot="1" x14ac:dyDescent="0.35">
      <c r="A438" s="19" t="s">
        <v>587</v>
      </c>
      <c r="B438" s="19" t="s">
        <v>474</v>
      </c>
      <c r="C438" s="19" t="s">
        <v>475</v>
      </c>
      <c r="D438" s="19" t="s">
        <v>497</v>
      </c>
      <c r="E438" s="19">
        <v>9161700373</v>
      </c>
      <c r="F438" s="19" t="s">
        <v>477</v>
      </c>
      <c r="G438" s="19" t="s">
        <v>487</v>
      </c>
      <c r="H438" s="19">
        <v>791.24</v>
      </c>
      <c r="I438" s="19">
        <v>4</v>
      </c>
      <c r="J438" s="19">
        <v>366.17</v>
      </c>
      <c r="K438" s="19" t="s">
        <v>358</v>
      </c>
      <c r="L438" s="19">
        <v>3164.96</v>
      </c>
      <c r="M438" s="19" t="s">
        <v>488</v>
      </c>
      <c r="N438" s="31">
        <v>11.57</v>
      </c>
      <c r="O438" s="19"/>
      <c r="P438" s="19"/>
      <c r="Q438" s="19"/>
      <c r="R438" s="19"/>
      <c r="S438" s="19"/>
      <c r="T438" s="19"/>
      <c r="U438" s="19"/>
      <c r="V438" s="19"/>
      <c r="W438" s="19"/>
      <c r="X438" s="19"/>
      <c r="Y438" s="19"/>
      <c r="Z438" s="19"/>
    </row>
    <row r="439" spans="1:26" ht="15" thickBot="1" x14ac:dyDescent="0.35">
      <c r="A439" s="19" t="s">
        <v>588</v>
      </c>
      <c r="B439" s="19" t="s">
        <v>485</v>
      </c>
      <c r="C439" s="19" t="s">
        <v>475</v>
      </c>
      <c r="D439" s="19" t="s">
        <v>517</v>
      </c>
      <c r="E439" s="19">
        <v>9242580997</v>
      </c>
      <c r="F439" s="19" t="s">
        <v>477</v>
      </c>
      <c r="G439" s="19" t="s">
        <v>355</v>
      </c>
      <c r="H439" s="19">
        <v>1210.8599999999999</v>
      </c>
      <c r="I439" s="19">
        <v>3</v>
      </c>
      <c r="J439" s="19">
        <v>698.75</v>
      </c>
      <c r="K439" s="19" t="s">
        <v>358</v>
      </c>
      <c r="L439" s="19">
        <v>3632.58</v>
      </c>
      <c r="M439" s="19" t="s">
        <v>488</v>
      </c>
      <c r="N439" s="31">
        <v>19.239999999999998</v>
      </c>
      <c r="O439" s="19"/>
      <c r="P439" s="19"/>
      <c r="Q439" s="19"/>
      <c r="R439" s="19"/>
      <c r="S439" s="19"/>
      <c r="T439" s="19"/>
      <c r="U439" s="19"/>
      <c r="V439" s="19"/>
      <c r="W439" s="19"/>
      <c r="X439" s="19"/>
      <c r="Y439" s="19"/>
      <c r="Z439" s="19"/>
    </row>
    <row r="440" spans="1:26" ht="15" thickBot="1" x14ac:dyDescent="0.35">
      <c r="A440" s="19" t="s">
        <v>589</v>
      </c>
      <c r="B440" s="19" t="s">
        <v>508</v>
      </c>
      <c r="C440" s="19" t="s">
        <v>475</v>
      </c>
      <c r="D440" s="19" t="s">
        <v>503</v>
      </c>
      <c r="E440" s="19">
        <v>9370714466</v>
      </c>
      <c r="F440" s="19" t="s">
        <v>477</v>
      </c>
      <c r="G440" s="19" t="s">
        <v>487</v>
      </c>
      <c r="H440" s="19">
        <v>619.57000000000005</v>
      </c>
      <c r="I440" s="19">
        <v>7</v>
      </c>
      <c r="J440" s="19">
        <v>562.75</v>
      </c>
      <c r="K440" s="19" t="s">
        <v>358</v>
      </c>
      <c r="L440" s="19">
        <v>4336.99</v>
      </c>
      <c r="M440" s="19" t="s">
        <v>488</v>
      </c>
      <c r="N440" s="31">
        <v>12.98</v>
      </c>
      <c r="O440" s="19"/>
      <c r="P440" s="19"/>
      <c r="Q440" s="19"/>
      <c r="R440" s="19"/>
      <c r="S440" s="19"/>
      <c r="T440" s="19"/>
      <c r="U440" s="19"/>
      <c r="V440" s="19"/>
      <c r="W440" s="19"/>
      <c r="X440" s="19"/>
      <c r="Y440" s="19"/>
      <c r="Z440" s="19"/>
    </row>
    <row r="441" spans="1:26" ht="15" thickBot="1" x14ac:dyDescent="0.35">
      <c r="A441" s="19" t="s">
        <v>590</v>
      </c>
      <c r="B441" s="19" t="s">
        <v>474</v>
      </c>
      <c r="C441" s="19" t="s">
        <v>475</v>
      </c>
      <c r="D441" s="19" t="s">
        <v>501</v>
      </c>
      <c r="E441" s="19">
        <v>9427647839</v>
      </c>
      <c r="F441" s="19" t="s">
        <v>342</v>
      </c>
      <c r="G441" s="19" t="s">
        <v>512</v>
      </c>
      <c r="H441" s="19">
        <v>308.5</v>
      </c>
      <c r="I441" s="19">
        <v>15</v>
      </c>
      <c r="J441" s="19">
        <v>802.96</v>
      </c>
      <c r="K441" s="19" t="s">
        <v>343</v>
      </c>
      <c r="L441" s="19">
        <v>4627.5</v>
      </c>
      <c r="M441" s="19" t="s">
        <v>488</v>
      </c>
      <c r="N441" s="31">
        <v>17.350000000000001</v>
      </c>
      <c r="O441" s="19"/>
      <c r="P441" s="19"/>
      <c r="Q441" s="19"/>
      <c r="R441" s="19"/>
      <c r="S441" s="19"/>
      <c r="T441" s="19"/>
      <c r="U441" s="19"/>
      <c r="V441" s="19"/>
      <c r="W441" s="19"/>
      <c r="X441" s="19"/>
      <c r="Y441" s="19"/>
      <c r="Z441" s="19"/>
    </row>
    <row r="442" spans="1:26" ht="15" thickBot="1" x14ac:dyDescent="0.35">
      <c r="A442" s="19" t="s">
        <v>591</v>
      </c>
      <c r="B442" s="19" t="s">
        <v>496</v>
      </c>
      <c r="C442" s="19" t="s">
        <v>475</v>
      </c>
      <c r="D442" s="19" t="s">
        <v>501</v>
      </c>
      <c r="E442" s="19">
        <v>9942075195</v>
      </c>
      <c r="F442" s="19" t="s">
        <v>477</v>
      </c>
      <c r="G442" s="19" t="s">
        <v>362</v>
      </c>
      <c r="H442" s="19">
        <v>1853.37</v>
      </c>
      <c r="I442" s="19">
        <v>5</v>
      </c>
      <c r="J442" s="19">
        <v>1661.2</v>
      </c>
      <c r="K442" s="19" t="s">
        <v>343</v>
      </c>
      <c r="L442" s="19">
        <v>9266.85</v>
      </c>
      <c r="M442" s="19" t="s">
        <v>492</v>
      </c>
      <c r="N442" s="31">
        <v>17.93</v>
      </c>
      <c r="O442" s="19"/>
      <c r="P442" s="19"/>
      <c r="Q442" s="19"/>
      <c r="R442" s="19"/>
      <c r="S442" s="19"/>
      <c r="T442" s="19"/>
      <c r="U442" s="19"/>
      <c r="V442" s="19"/>
      <c r="W442" s="19"/>
      <c r="X442" s="19"/>
      <c r="Y442" s="19"/>
      <c r="Z442" s="19"/>
    </row>
    <row r="443" spans="1:26" ht="15" thickBot="1" x14ac:dyDescent="0.35">
      <c r="A443" s="19" t="s">
        <v>592</v>
      </c>
      <c r="B443" s="19" t="s">
        <v>485</v>
      </c>
      <c r="C443" s="19" t="s">
        <v>475</v>
      </c>
      <c r="D443" s="19" t="s">
        <v>505</v>
      </c>
      <c r="E443" s="19">
        <v>9857569233</v>
      </c>
      <c r="F443" s="19" t="s">
        <v>477</v>
      </c>
      <c r="G443" s="19" t="s">
        <v>514</v>
      </c>
      <c r="H443" s="19">
        <v>2501.48</v>
      </c>
      <c r="I443" s="19">
        <v>6</v>
      </c>
      <c r="J443" s="19">
        <v>4142.5200000000004</v>
      </c>
      <c r="K443" s="19" t="s">
        <v>483</v>
      </c>
      <c r="L443" s="19">
        <v>15008.88</v>
      </c>
      <c r="M443" s="19" t="s">
        <v>479</v>
      </c>
      <c r="N443" s="31">
        <v>27.6</v>
      </c>
      <c r="O443" s="19"/>
      <c r="P443" s="19"/>
      <c r="Q443" s="19"/>
      <c r="R443" s="19"/>
      <c r="S443" s="19"/>
      <c r="T443" s="19"/>
      <c r="U443" s="19"/>
      <c r="V443" s="19"/>
      <c r="W443" s="19"/>
      <c r="X443" s="19"/>
      <c r="Y443" s="19"/>
      <c r="Z443" s="19"/>
    </row>
    <row r="444" spans="1:26" ht="15" thickBot="1" x14ac:dyDescent="0.35">
      <c r="A444" s="19" t="s">
        <v>593</v>
      </c>
      <c r="B444" s="19" t="s">
        <v>485</v>
      </c>
      <c r="C444" s="19" t="s">
        <v>475</v>
      </c>
      <c r="D444" s="19" t="s">
        <v>476</v>
      </c>
      <c r="E444" s="19">
        <v>9944969047</v>
      </c>
      <c r="F444" s="19" t="s">
        <v>342</v>
      </c>
      <c r="G444" s="19" t="s">
        <v>318</v>
      </c>
      <c r="H444" s="19">
        <v>2596.13</v>
      </c>
      <c r="I444" s="19">
        <v>5</v>
      </c>
      <c r="J444" s="19">
        <v>1453.33</v>
      </c>
      <c r="K444" s="19" t="s">
        <v>483</v>
      </c>
      <c r="L444" s="19">
        <v>12980.65</v>
      </c>
      <c r="M444" s="19" t="s">
        <v>479</v>
      </c>
      <c r="N444" s="31">
        <v>11.2</v>
      </c>
      <c r="O444" s="19"/>
      <c r="P444" s="19"/>
      <c r="Q444" s="19"/>
      <c r="R444" s="19"/>
      <c r="S444" s="19"/>
      <c r="T444" s="19"/>
      <c r="U444" s="19"/>
      <c r="V444" s="19"/>
      <c r="W444" s="19"/>
      <c r="X444" s="19"/>
      <c r="Y444" s="19"/>
      <c r="Z444" s="19"/>
    </row>
    <row r="445" spans="1:26" ht="15" thickBot="1" x14ac:dyDescent="0.35">
      <c r="A445" s="19" t="s">
        <v>594</v>
      </c>
      <c r="B445" s="19" t="s">
        <v>474</v>
      </c>
      <c r="C445" s="19" t="s">
        <v>475</v>
      </c>
      <c r="D445" s="19" t="s">
        <v>486</v>
      </c>
      <c r="E445" s="19">
        <v>56428436</v>
      </c>
      <c r="F445" s="19" t="s">
        <v>342</v>
      </c>
      <c r="G445" s="19" t="s">
        <v>370</v>
      </c>
      <c r="H445" s="19">
        <v>2209.52</v>
      </c>
      <c r="I445" s="19">
        <v>6</v>
      </c>
      <c r="J445" s="19">
        <v>3760.49</v>
      </c>
      <c r="K445" s="19" t="s">
        <v>483</v>
      </c>
      <c r="L445" s="19">
        <v>13257.12</v>
      </c>
      <c r="M445" s="19" t="s">
        <v>479</v>
      </c>
      <c r="N445" s="31">
        <v>28.37</v>
      </c>
      <c r="O445" s="19"/>
      <c r="P445" s="19"/>
      <c r="Q445" s="19"/>
      <c r="R445" s="19"/>
      <c r="S445" s="19"/>
      <c r="T445" s="19"/>
      <c r="U445" s="19"/>
      <c r="V445" s="19"/>
      <c r="W445" s="19"/>
      <c r="X445" s="19"/>
      <c r="Y445" s="19"/>
      <c r="Z445" s="19"/>
    </row>
    <row r="446" spans="1:26" ht="15" thickBot="1" x14ac:dyDescent="0.35">
      <c r="A446" s="19" t="s">
        <v>595</v>
      </c>
      <c r="B446" s="19" t="s">
        <v>496</v>
      </c>
      <c r="C446" s="19" t="s">
        <v>475</v>
      </c>
      <c r="D446" s="19" t="s">
        <v>503</v>
      </c>
      <c r="E446" s="19">
        <v>9705241364</v>
      </c>
      <c r="F446" s="19" t="s">
        <v>481</v>
      </c>
      <c r="G446" s="19" t="s">
        <v>490</v>
      </c>
      <c r="H446" s="19">
        <v>458.7</v>
      </c>
      <c r="I446" s="19">
        <v>7</v>
      </c>
      <c r="J446" s="19">
        <v>839.97</v>
      </c>
      <c r="K446" s="19" t="s">
        <v>483</v>
      </c>
      <c r="L446" s="19">
        <v>3210.9</v>
      </c>
      <c r="M446" s="19" t="s">
        <v>488</v>
      </c>
      <c r="N446" s="31">
        <v>26.16</v>
      </c>
      <c r="O446" s="19"/>
      <c r="P446" s="19"/>
      <c r="Q446" s="19"/>
      <c r="R446" s="19"/>
      <c r="S446" s="19"/>
      <c r="T446" s="19"/>
      <c r="U446" s="19"/>
      <c r="V446" s="19"/>
      <c r="W446" s="19"/>
      <c r="X446" s="19"/>
      <c r="Y446" s="19"/>
      <c r="Z446" s="19"/>
    </row>
    <row r="447" spans="1:26" ht="15" thickBot="1" x14ac:dyDescent="0.35">
      <c r="A447" s="19" t="s">
        <v>596</v>
      </c>
      <c r="B447" s="19" t="s">
        <v>496</v>
      </c>
      <c r="C447" s="19" t="s">
        <v>475</v>
      </c>
      <c r="D447" s="19" t="s">
        <v>476</v>
      </c>
      <c r="E447" s="19">
        <v>9245776255</v>
      </c>
      <c r="F447" s="19" t="s">
        <v>477</v>
      </c>
      <c r="G447" s="19" t="s">
        <v>355</v>
      </c>
      <c r="H447" s="19">
        <v>833.16</v>
      </c>
      <c r="I447" s="19">
        <v>12</v>
      </c>
      <c r="J447" s="19">
        <v>2135.63</v>
      </c>
      <c r="K447" s="19" t="s">
        <v>483</v>
      </c>
      <c r="L447" s="19">
        <v>9997.92</v>
      </c>
      <c r="M447" s="19" t="s">
        <v>492</v>
      </c>
      <c r="N447" s="31">
        <v>21.36</v>
      </c>
      <c r="O447" s="19"/>
      <c r="P447" s="19"/>
      <c r="Q447" s="19"/>
      <c r="R447" s="19"/>
      <c r="S447" s="19"/>
      <c r="T447" s="19"/>
      <c r="U447" s="19"/>
      <c r="V447" s="19"/>
      <c r="W447" s="19"/>
      <c r="X447" s="19"/>
      <c r="Y447" s="19"/>
      <c r="Z447" s="19"/>
    </row>
    <row r="448" spans="1:26" ht="15" thickBot="1" x14ac:dyDescent="0.35">
      <c r="A448" s="19" t="s">
        <v>597</v>
      </c>
      <c r="B448" s="19" t="s">
        <v>496</v>
      </c>
      <c r="C448" s="19" t="s">
        <v>475</v>
      </c>
      <c r="D448" s="19" t="s">
        <v>517</v>
      </c>
      <c r="E448" s="19">
        <v>9881212856</v>
      </c>
      <c r="F448" s="19" t="s">
        <v>477</v>
      </c>
      <c r="G448" s="19" t="s">
        <v>355</v>
      </c>
      <c r="H448" s="19">
        <v>238.37</v>
      </c>
      <c r="I448" s="19">
        <v>13</v>
      </c>
      <c r="J448" s="19">
        <v>586.94000000000005</v>
      </c>
      <c r="K448" s="19" t="s">
        <v>483</v>
      </c>
      <c r="L448" s="19">
        <v>3098.81</v>
      </c>
      <c r="M448" s="19" t="s">
        <v>488</v>
      </c>
      <c r="N448" s="31">
        <v>18.940000000000001</v>
      </c>
      <c r="O448" s="19"/>
      <c r="P448" s="19"/>
      <c r="Q448" s="19"/>
      <c r="R448" s="19"/>
      <c r="S448" s="19"/>
      <c r="T448" s="19"/>
      <c r="U448" s="19"/>
      <c r="V448" s="19"/>
      <c r="W448" s="19"/>
      <c r="X448" s="19"/>
      <c r="Y448" s="19"/>
      <c r="Z448" s="19"/>
    </row>
    <row r="449" spans="1:26" ht="15" thickBot="1" x14ac:dyDescent="0.35">
      <c r="A449" s="19" t="s">
        <v>598</v>
      </c>
      <c r="B449" s="19" t="s">
        <v>474</v>
      </c>
      <c r="C449" s="19" t="s">
        <v>475</v>
      </c>
      <c r="D449" s="19" t="s">
        <v>503</v>
      </c>
      <c r="E449" s="19">
        <v>9916091858</v>
      </c>
      <c r="F449" s="19" t="s">
        <v>477</v>
      </c>
      <c r="G449" s="19" t="s">
        <v>362</v>
      </c>
      <c r="H449" s="19">
        <v>820.05</v>
      </c>
      <c r="I449" s="19">
        <v>3</v>
      </c>
      <c r="J449" s="19">
        <v>419.41</v>
      </c>
      <c r="K449" s="19" t="s">
        <v>358</v>
      </c>
      <c r="L449" s="19">
        <v>2460.15</v>
      </c>
      <c r="M449" s="19" t="s">
        <v>488</v>
      </c>
      <c r="N449" s="31">
        <v>17.05</v>
      </c>
      <c r="O449" s="19"/>
      <c r="P449" s="19"/>
      <c r="Q449" s="19"/>
      <c r="R449" s="19"/>
      <c r="S449" s="19"/>
      <c r="T449" s="19"/>
      <c r="U449" s="19"/>
      <c r="V449" s="19"/>
      <c r="W449" s="19"/>
      <c r="X449" s="19"/>
      <c r="Y449" s="19"/>
      <c r="Z449" s="19"/>
    </row>
    <row r="450" spans="1:26" ht="15" thickBot="1" x14ac:dyDescent="0.35">
      <c r="A450" s="19" t="s">
        <v>599</v>
      </c>
      <c r="B450" s="19" t="s">
        <v>508</v>
      </c>
      <c r="C450" s="19" t="s">
        <v>475</v>
      </c>
      <c r="D450" s="19" t="s">
        <v>476</v>
      </c>
      <c r="E450" s="19">
        <v>9425191872</v>
      </c>
      <c r="F450" s="19" t="s">
        <v>342</v>
      </c>
      <c r="G450" s="19" t="s">
        <v>370</v>
      </c>
      <c r="H450" s="19">
        <v>2716.33</v>
      </c>
      <c r="I450" s="19">
        <v>8</v>
      </c>
      <c r="J450" s="19">
        <v>5513.14</v>
      </c>
      <c r="K450" s="19" t="s">
        <v>483</v>
      </c>
      <c r="L450" s="19">
        <v>21730.639999999999</v>
      </c>
      <c r="M450" s="19" t="s">
        <v>479</v>
      </c>
      <c r="N450" s="31">
        <v>25.37</v>
      </c>
      <c r="O450" s="19"/>
      <c r="P450" s="19"/>
      <c r="Q450" s="19"/>
      <c r="R450" s="19"/>
      <c r="S450" s="19"/>
      <c r="T450" s="19"/>
      <c r="U450" s="19"/>
      <c r="V450" s="19"/>
      <c r="W450" s="19"/>
      <c r="X450" s="19"/>
      <c r="Y450" s="19"/>
      <c r="Z450" s="19"/>
    </row>
    <row r="451" spans="1:26" ht="15" thickBot="1" x14ac:dyDescent="0.35">
      <c r="A451" s="28" t="s">
        <v>600</v>
      </c>
      <c r="B451" s="28" t="s">
        <v>508</v>
      </c>
      <c r="C451" s="28" t="s">
        <v>475</v>
      </c>
      <c r="D451" s="28" t="s">
        <v>517</v>
      </c>
      <c r="E451" s="28">
        <v>9459337548</v>
      </c>
      <c r="F451" s="28" t="s">
        <v>477</v>
      </c>
      <c r="G451" s="28" t="s">
        <v>514</v>
      </c>
      <c r="H451" s="28">
        <v>1918.81</v>
      </c>
      <c r="I451" s="28">
        <v>1</v>
      </c>
      <c r="J451" s="28">
        <v>442.75</v>
      </c>
      <c r="K451" s="28" t="s">
        <v>491</v>
      </c>
      <c r="L451" s="28">
        <v>1918.81</v>
      </c>
      <c r="M451" s="28" t="s">
        <v>488</v>
      </c>
      <c r="N451" s="32">
        <v>23.07</v>
      </c>
      <c r="O451" s="19"/>
      <c r="P451" s="19"/>
      <c r="Q451" s="19"/>
      <c r="R451" s="19"/>
      <c r="S451" s="19"/>
      <c r="T451" s="19"/>
      <c r="U451" s="19"/>
      <c r="V451" s="19"/>
      <c r="W451" s="19"/>
      <c r="X451" s="19"/>
      <c r="Y451" s="19"/>
      <c r="Z451" s="19"/>
    </row>
    <row r="452" spans="1:26" ht="15" thickBot="1" x14ac:dyDescent="0.3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 thickBot="1" x14ac:dyDescent="0.3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 thickBot="1" x14ac:dyDescent="0.3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 thickBot="1" x14ac:dyDescent="0.3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 thickBot="1" x14ac:dyDescent="0.3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 thickBot="1" x14ac:dyDescent="0.3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 thickBot="1" x14ac:dyDescent="0.3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 thickBot="1" x14ac:dyDescent="0.3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 thickBot="1" x14ac:dyDescent="0.3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 thickBot="1" x14ac:dyDescent="0.3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 thickBot="1" x14ac:dyDescent="0.3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 thickBot="1" x14ac:dyDescent="0.3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 thickBot="1" x14ac:dyDescent="0.3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 thickBot="1" x14ac:dyDescent="0.3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 thickBot="1" x14ac:dyDescent="0.3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 thickBot="1" x14ac:dyDescent="0.3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 thickBot="1" x14ac:dyDescent="0.3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 thickBot="1" x14ac:dyDescent="0.3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 thickBot="1" x14ac:dyDescent="0.3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 thickBot="1" x14ac:dyDescent="0.3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 thickBot="1" x14ac:dyDescent="0.3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 thickBot="1" x14ac:dyDescent="0.3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 thickBot="1" x14ac:dyDescent="0.3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 thickBot="1" x14ac:dyDescent="0.3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 thickBot="1" x14ac:dyDescent="0.3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 thickBot="1" x14ac:dyDescent="0.3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 thickBot="1" x14ac:dyDescent="0.3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 thickBot="1" x14ac:dyDescent="0.3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 thickBot="1" x14ac:dyDescent="0.3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 thickBot="1" x14ac:dyDescent="0.3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 thickBot="1" x14ac:dyDescent="0.3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 thickBot="1" x14ac:dyDescent="0.3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 thickBot="1" x14ac:dyDescent="0.3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 thickBot="1" x14ac:dyDescent="0.3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 thickBot="1" x14ac:dyDescent="0.3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 thickBot="1" x14ac:dyDescent="0.3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 thickBot="1" x14ac:dyDescent="0.3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 thickBot="1" x14ac:dyDescent="0.3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 thickBot="1" x14ac:dyDescent="0.3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 thickBot="1" x14ac:dyDescent="0.3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 thickBot="1" x14ac:dyDescent="0.3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 thickBot="1" x14ac:dyDescent="0.3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 thickBot="1" x14ac:dyDescent="0.3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 thickBot="1" x14ac:dyDescent="0.3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 thickBot="1" x14ac:dyDescent="0.3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 thickBot="1" x14ac:dyDescent="0.3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 thickBot="1" x14ac:dyDescent="0.3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 thickBot="1" x14ac:dyDescent="0.3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 thickBot="1" x14ac:dyDescent="0.3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 thickBot="1" x14ac:dyDescent="0.3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 thickBot="1" x14ac:dyDescent="0.3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 thickBot="1" x14ac:dyDescent="0.3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 thickBot="1" x14ac:dyDescent="0.3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 thickBot="1" x14ac:dyDescent="0.3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 thickBot="1" x14ac:dyDescent="0.3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 thickBot="1" x14ac:dyDescent="0.3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 thickBot="1" x14ac:dyDescent="0.3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 thickBot="1" x14ac:dyDescent="0.3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 thickBot="1" x14ac:dyDescent="0.3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 thickBot="1" x14ac:dyDescent="0.3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 thickBot="1" x14ac:dyDescent="0.3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 thickBot="1" x14ac:dyDescent="0.3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 thickBot="1" x14ac:dyDescent="0.3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 thickBot="1" x14ac:dyDescent="0.3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 thickBot="1" x14ac:dyDescent="0.3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 thickBot="1" x14ac:dyDescent="0.3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 thickBot="1" x14ac:dyDescent="0.3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 thickBot="1" x14ac:dyDescent="0.3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 thickBot="1" x14ac:dyDescent="0.3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 thickBot="1" x14ac:dyDescent="0.3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 thickBot="1" x14ac:dyDescent="0.3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 thickBot="1" x14ac:dyDescent="0.3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 thickBot="1" x14ac:dyDescent="0.3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 thickBot="1" x14ac:dyDescent="0.3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 thickBot="1" x14ac:dyDescent="0.3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 thickBot="1" x14ac:dyDescent="0.3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 thickBot="1" x14ac:dyDescent="0.3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 thickBot="1" x14ac:dyDescent="0.3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 thickBot="1" x14ac:dyDescent="0.3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 thickBot="1" x14ac:dyDescent="0.3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 thickBot="1" x14ac:dyDescent="0.3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 thickBot="1" x14ac:dyDescent="0.3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 thickBot="1" x14ac:dyDescent="0.3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 thickBot="1" x14ac:dyDescent="0.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 thickBot="1" x14ac:dyDescent="0.3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 thickBot="1" x14ac:dyDescent="0.3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 thickBot="1" x14ac:dyDescent="0.3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 thickBot="1" x14ac:dyDescent="0.3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 thickBot="1" x14ac:dyDescent="0.3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 thickBot="1" x14ac:dyDescent="0.3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 thickBot="1" x14ac:dyDescent="0.3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 thickBot="1" x14ac:dyDescent="0.3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 thickBot="1" x14ac:dyDescent="0.3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 thickBot="1" x14ac:dyDescent="0.3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 thickBot="1" x14ac:dyDescent="0.3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 thickBot="1" x14ac:dyDescent="0.3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 thickBot="1" x14ac:dyDescent="0.3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 thickBot="1" x14ac:dyDescent="0.3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 thickBot="1" x14ac:dyDescent="0.3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 thickBot="1" x14ac:dyDescent="0.3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 thickBot="1" x14ac:dyDescent="0.3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 thickBot="1" x14ac:dyDescent="0.3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 thickBot="1" x14ac:dyDescent="0.3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 thickBot="1" x14ac:dyDescent="0.3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 thickBot="1" x14ac:dyDescent="0.3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 thickBot="1" x14ac:dyDescent="0.3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 thickBot="1" x14ac:dyDescent="0.3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 thickBot="1" x14ac:dyDescent="0.3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 thickBot="1" x14ac:dyDescent="0.3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 thickBot="1" x14ac:dyDescent="0.3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 thickBot="1" x14ac:dyDescent="0.3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 thickBot="1" x14ac:dyDescent="0.3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 thickBot="1" x14ac:dyDescent="0.3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 thickBot="1" x14ac:dyDescent="0.3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 thickBot="1" x14ac:dyDescent="0.3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 thickBot="1" x14ac:dyDescent="0.3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 thickBot="1" x14ac:dyDescent="0.3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 thickBot="1" x14ac:dyDescent="0.3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 thickBot="1" x14ac:dyDescent="0.3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 thickBot="1" x14ac:dyDescent="0.3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 thickBot="1" x14ac:dyDescent="0.3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 thickBot="1" x14ac:dyDescent="0.3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 thickBot="1" x14ac:dyDescent="0.3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 thickBot="1" x14ac:dyDescent="0.3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 thickBot="1" x14ac:dyDescent="0.3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 thickBot="1" x14ac:dyDescent="0.3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 thickBot="1" x14ac:dyDescent="0.3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 thickBot="1" x14ac:dyDescent="0.3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 thickBot="1" x14ac:dyDescent="0.3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 thickBot="1" x14ac:dyDescent="0.3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 thickBot="1" x14ac:dyDescent="0.3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 thickBot="1" x14ac:dyDescent="0.3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 thickBot="1" x14ac:dyDescent="0.3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 thickBot="1" x14ac:dyDescent="0.3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 thickBot="1" x14ac:dyDescent="0.3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 thickBot="1" x14ac:dyDescent="0.3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 thickBot="1" x14ac:dyDescent="0.3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 thickBot="1" x14ac:dyDescent="0.3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 thickBot="1" x14ac:dyDescent="0.3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 thickBot="1" x14ac:dyDescent="0.3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 thickBot="1" x14ac:dyDescent="0.3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 thickBot="1" x14ac:dyDescent="0.3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 thickBot="1" x14ac:dyDescent="0.3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 thickBot="1" x14ac:dyDescent="0.3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 thickBot="1" x14ac:dyDescent="0.3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 thickBot="1" x14ac:dyDescent="0.3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 thickBot="1" x14ac:dyDescent="0.3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 thickBot="1" x14ac:dyDescent="0.3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 thickBot="1" x14ac:dyDescent="0.3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 thickBot="1" x14ac:dyDescent="0.3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 thickBot="1" x14ac:dyDescent="0.3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 thickBot="1" x14ac:dyDescent="0.3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 thickBot="1" x14ac:dyDescent="0.3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 thickBot="1" x14ac:dyDescent="0.3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 thickBot="1" x14ac:dyDescent="0.3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 thickBot="1" x14ac:dyDescent="0.3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 thickBot="1" x14ac:dyDescent="0.3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 thickBot="1" x14ac:dyDescent="0.3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 thickBot="1" x14ac:dyDescent="0.3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 thickBot="1" x14ac:dyDescent="0.3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 thickBot="1" x14ac:dyDescent="0.3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 thickBot="1" x14ac:dyDescent="0.3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 thickBot="1" x14ac:dyDescent="0.3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 thickBot="1" x14ac:dyDescent="0.3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 thickBot="1" x14ac:dyDescent="0.3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 thickBot="1" x14ac:dyDescent="0.3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 thickBot="1" x14ac:dyDescent="0.3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 thickBot="1" x14ac:dyDescent="0.3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 thickBot="1" x14ac:dyDescent="0.3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 thickBot="1" x14ac:dyDescent="0.3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 thickBot="1" x14ac:dyDescent="0.3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 thickBot="1" x14ac:dyDescent="0.3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 thickBot="1" x14ac:dyDescent="0.3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 thickBot="1" x14ac:dyDescent="0.3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 thickBot="1" x14ac:dyDescent="0.3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 thickBot="1" x14ac:dyDescent="0.3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 thickBot="1" x14ac:dyDescent="0.3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 thickBot="1" x14ac:dyDescent="0.3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 thickBot="1" x14ac:dyDescent="0.3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 thickBot="1" x14ac:dyDescent="0.3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 thickBot="1" x14ac:dyDescent="0.3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 thickBot="1" x14ac:dyDescent="0.3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 thickBot="1" x14ac:dyDescent="0.3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 thickBot="1" x14ac:dyDescent="0.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 thickBot="1" x14ac:dyDescent="0.3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 thickBot="1" x14ac:dyDescent="0.3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 thickBot="1" x14ac:dyDescent="0.3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 thickBot="1" x14ac:dyDescent="0.3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 thickBot="1" x14ac:dyDescent="0.3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 thickBot="1" x14ac:dyDescent="0.3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 thickBot="1" x14ac:dyDescent="0.3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 thickBot="1" x14ac:dyDescent="0.3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 thickBot="1" x14ac:dyDescent="0.3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 thickBot="1" x14ac:dyDescent="0.3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 thickBot="1" x14ac:dyDescent="0.3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 thickBot="1" x14ac:dyDescent="0.3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 thickBot="1" x14ac:dyDescent="0.3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 thickBot="1" x14ac:dyDescent="0.3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 thickBot="1" x14ac:dyDescent="0.3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 thickBot="1" x14ac:dyDescent="0.3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 thickBot="1" x14ac:dyDescent="0.3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 thickBot="1" x14ac:dyDescent="0.3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 thickBot="1" x14ac:dyDescent="0.3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 thickBot="1" x14ac:dyDescent="0.3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 thickBot="1" x14ac:dyDescent="0.3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 thickBot="1" x14ac:dyDescent="0.3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 thickBot="1" x14ac:dyDescent="0.3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 thickBot="1" x14ac:dyDescent="0.3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 thickBot="1" x14ac:dyDescent="0.3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 thickBot="1" x14ac:dyDescent="0.3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 thickBot="1" x14ac:dyDescent="0.3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 thickBot="1" x14ac:dyDescent="0.3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 thickBot="1" x14ac:dyDescent="0.3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 thickBot="1" x14ac:dyDescent="0.3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 thickBot="1" x14ac:dyDescent="0.3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 thickBot="1" x14ac:dyDescent="0.3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 thickBot="1" x14ac:dyDescent="0.3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 thickBot="1" x14ac:dyDescent="0.3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 thickBot="1" x14ac:dyDescent="0.3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 thickBot="1" x14ac:dyDescent="0.3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 thickBot="1" x14ac:dyDescent="0.3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 thickBot="1" x14ac:dyDescent="0.3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 thickBot="1" x14ac:dyDescent="0.3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 thickBot="1" x14ac:dyDescent="0.3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 thickBot="1" x14ac:dyDescent="0.3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 thickBot="1" x14ac:dyDescent="0.3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 thickBot="1" x14ac:dyDescent="0.3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 thickBot="1" x14ac:dyDescent="0.3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 thickBot="1" x14ac:dyDescent="0.3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 thickBot="1" x14ac:dyDescent="0.3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 thickBot="1" x14ac:dyDescent="0.3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 thickBot="1" x14ac:dyDescent="0.3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 thickBot="1" x14ac:dyDescent="0.3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 thickBot="1" x14ac:dyDescent="0.3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 thickBot="1" x14ac:dyDescent="0.3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 thickBot="1" x14ac:dyDescent="0.3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 thickBot="1" x14ac:dyDescent="0.3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 thickBot="1" x14ac:dyDescent="0.3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 thickBot="1" x14ac:dyDescent="0.3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 thickBot="1" x14ac:dyDescent="0.3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 thickBot="1" x14ac:dyDescent="0.3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 thickBot="1" x14ac:dyDescent="0.3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 thickBot="1" x14ac:dyDescent="0.3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 thickBot="1" x14ac:dyDescent="0.3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 thickBot="1" x14ac:dyDescent="0.3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 thickBot="1" x14ac:dyDescent="0.3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 thickBot="1" x14ac:dyDescent="0.3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 thickBot="1" x14ac:dyDescent="0.3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 thickBot="1" x14ac:dyDescent="0.3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 thickBot="1" x14ac:dyDescent="0.3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 thickBot="1" x14ac:dyDescent="0.3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 thickBot="1" x14ac:dyDescent="0.3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 thickBot="1" x14ac:dyDescent="0.3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 thickBot="1" x14ac:dyDescent="0.3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 thickBot="1" x14ac:dyDescent="0.3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 thickBot="1" x14ac:dyDescent="0.3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 thickBot="1" x14ac:dyDescent="0.3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 thickBot="1" x14ac:dyDescent="0.3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 thickBot="1" x14ac:dyDescent="0.3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 thickBot="1" x14ac:dyDescent="0.3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 thickBot="1" x14ac:dyDescent="0.3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 thickBot="1" x14ac:dyDescent="0.3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 thickBot="1" x14ac:dyDescent="0.3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 thickBot="1" x14ac:dyDescent="0.3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 thickBot="1" x14ac:dyDescent="0.3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 thickBot="1" x14ac:dyDescent="0.3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 thickBot="1" x14ac:dyDescent="0.3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 thickBot="1" x14ac:dyDescent="0.3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 thickBot="1" x14ac:dyDescent="0.3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 thickBot="1" x14ac:dyDescent="0.3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 thickBot="1" x14ac:dyDescent="0.3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 thickBot="1" x14ac:dyDescent="0.3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 thickBot="1" x14ac:dyDescent="0.3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 thickBot="1" x14ac:dyDescent="0.3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 thickBot="1" x14ac:dyDescent="0.3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 thickBot="1" x14ac:dyDescent="0.3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 thickBot="1" x14ac:dyDescent="0.3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 thickBot="1" x14ac:dyDescent="0.3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 thickBot="1" x14ac:dyDescent="0.3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 thickBot="1" x14ac:dyDescent="0.3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 thickBot="1" x14ac:dyDescent="0.3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 thickBot="1" x14ac:dyDescent="0.3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 thickBot="1" x14ac:dyDescent="0.3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 thickBot="1" x14ac:dyDescent="0.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 thickBot="1" x14ac:dyDescent="0.3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 thickBot="1" x14ac:dyDescent="0.3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 thickBot="1" x14ac:dyDescent="0.3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 thickBot="1" x14ac:dyDescent="0.3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 thickBot="1" x14ac:dyDescent="0.3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 thickBot="1" x14ac:dyDescent="0.3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 thickBot="1" x14ac:dyDescent="0.3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 thickBot="1" x14ac:dyDescent="0.3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 thickBot="1" x14ac:dyDescent="0.3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 thickBot="1" x14ac:dyDescent="0.3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 thickBot="1" x14ac:dyDescent="0.3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 thickBot="1" x14ac:dyDescent="0.3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 thickBot="1" x14ac:dyDescent="0.3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 thickBot="1" x14ac:dyDescent="0.3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 thickBot="1" x14ac:dyDescent="0.3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 thickBot="1" x14ac:dyDescent="0.3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 thickBot="1" x14ac:dyDescent="0.3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 thickBot="1" x14ac:dyDescent="0.3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 thickBot="1" x14ac:dyDescent="0.3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 thickBot="1" x14ac:dyDescent="0.3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 thickBot="1" x14ac:dyDescent="0.3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 thickBot="1" x14ac:dyDescent="0.3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 thickBot="1" x14ac:dyDescent="0.3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 thickBot="1" x14ac:dyDescent="0.3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 thickBot="1" x14ac:dyDescent="0.3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 thickBot="1" x14ac:dyDescent="0.3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 thickBot="1" x14ac:dyDescent="0.3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 thickBot="1" x14ac:dyDescent="0.3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 thickBot="1" x14ac:dyDescent="0.3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 thickBot="1" x14ac:dyDescent="0.3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 thickBot="1" x14ac:dyDescent="0.3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 thickBot="1" x14ac:dyDescent="0.3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 thickBot="1" x14ac:dyDescent="0.3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 thickBot="1" x14ac:dyDescent="0.3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 thickBot="1" x14ac:dyDescent="0.3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 thickBot="1" x14ac:dyDescent="0.3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 thickBot="1" x14ac:dyDescent="0.3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 thickBot="1" x14ac:dyDescent="0.3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 thickBot="1" x14ac:dyDescent="0.3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 thickBot="1" x14ac:dyDescent="0.3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 thickBot="1" x14ac:dyDescent="0.3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 thickBot="1" x14ac:dyDescent="0.3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 thickBot="1" x14ac:dyDescent="0.3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 thickBot="1" x14ac:dyDescent="0.3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 thickBot="1" x14ac:dyDescent="0.3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 thickBot="1" x14ac:dyDescent="0.3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 thickBot="1" x14ac:dyDescent="0.3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 thickBot="1" x14ac:dyDescent="0.3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 thickBot="1" x14ac:dyDescent="0.3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 thickBot="1" x14ac:dyDescent="0.3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 thickBot="1" x14ac:dyDescent="0.3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 thickBot="1" x14ac:dyDescent="0.3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 thickBot="1" x14ac:dyDescent="0.3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 thickBot="1" x14ac:dyDescent="0.3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 thickBot="1" x14ac:dyDescent="0.3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 thickBot="1" x14ac:dyDescent="0.3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 thickBot="1" x14ac:dyDescent="0.3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 thickBot="1" x14ac:dyDescent="0.3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 thickBot="1" x14ac:dyDescent="0.3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 thickBot="1" x14ac:dyDescent="0.3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 thickBot="1" x14ac:dyDescent="0.3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 thickBot="1" x14ac:dyDescent="0.3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 thickBot="1" x14ac:dyDescent="0.3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 thickBot="1" x14ac:dyDescent="0.3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 thickBot="1" x14ac:dyDescent="0.3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 thickBot="1" x14ac:dyDescent="0.3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 thickBot="1" x14ac:dyDescent="0.3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 thickBot="1" x14ac:dyDescent="0.3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 thickBot="1" x14ac:dyDescent="0.3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 thickBot="1" x14ac:dyDescent="0.3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 thickBot="1" x14ac:dyDescent="0.3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 thickBot="1" x14ac:dyDescent="0.3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 thickBot="1" x14ac:dyDescent="0.3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 thickBot="1" x14ac:dyDescent="0.3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 thickBot="1" x14ac:dyDescent="0.3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 thickBot="1" x14ac:dyDescent="0.3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 thickBot="1" x14ac:dyDescent="0.3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 thickBot="1" x14ac:dyDescent="0.3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 thickBot="1" x14ac:dyDescent="0.3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 thickBot="1" x14ac:dyDescent="0.3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 thickBot="1" x14ac:dyDescent="0.3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 thickBot="1" x14ac:dyDescent="0.3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 thickBot="1" x14ac:dyDescent="0.3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 thickBot="1" x14ac:dyDescent="0.3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 thickBot="1" x14ac:dyDescent="0.3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 thickBot="1" x14ac:dyDescent="0.3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 thickBot="1" x14ac:dyDescent="0.3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 thickBot="1" x14ac:dyDescent="0.3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 thickBot="1" x14ac:dyDescent="0.3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 thickBot="1" x14ac:dyDescent="0.3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 thickBot="1" x14ac:dyDescent="0.3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 thickBot="1" x14ac:dyDescent="0.3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 thickBot="1" x14ac:dyDescent="0.3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 thickBot="1" x14ac:dyDescent="0.3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 thickBot="1" x14ac:dyDescent="0.3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 thickBot="1" x14ac:dyDescent="0.3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 thickBot="1" x14ac:dyDescent="0.3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 thickBot="1" x14ac:dyDescent="0.3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 thickBot="1" x14ac:dyDescent="0.3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 thickBot="1" x14ac:dyDescent="0.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 thickBot="1" x14ac:dyDescent="0.3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 thickBot="1" x14ac:dyDescent="0.3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 thickBot="1" x14ac:dyDescent="0.3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 thickBot="1" x14ac:dyDescent="0.3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 thickBot="1" x14ac:dyDescent="0.3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 thickBot="1" x14ac:dyDescent="0.3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 thickBot="1" x14ac:dyDescent="0.3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 thickBot="1" x14ac:dyDescent="0.3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 thickBot="1" x14ac:dyDescent="0.3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 thickBot="1" x14ac:dyDescent="0.3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 thickBot="1" x14ac:dyDescent="0.3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 thickBot="1" x14ac:dyDescent="0.3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 thickBot="1" x14ac:dyDescent="0.3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 thickBot="1" x14ac:dyDescent="0.3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 thickBot="1" x14ac:dyDescent="0.3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 thickBot="1" x14ac:dyDescent="0.3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 thickBot="1" x14ac:dyDescent="0.3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 thickBot="1" x14ac:dyDescent="0.3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 thickBot="1" x14ac:dyDescent="0.3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 thickBot="1" x14ac:dyDescent="0.3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 thickBot="1" x14ac:dyDescent="0.3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 thickBot="1" x14ac:dyDescent="0.3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 thickBot="1" x14ac:dyDescent="0.3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 thickBot="1" x14ac:dyDescent="0.3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 thickBot="1" x14ac:dyDescent="0.3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 thickBot="1" x14ac:dyDescent="0.3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 thickBot="1" x14ac:dyDescent="0.3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 thickBot="1" x14ac:dyDescent="0.3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 thickBot="1" x14ac:dyDescent="0.3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 thickBot="1" x14ac:dyDescent="0.3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 thickBot="1" x14ac:dyDescent="0.3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 thickBot="1" x14ac:dyDescent="0.3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 thickBot="1" x14ac:dyDescent="0.3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 thickBot="1" x14ac:dyDescent="0.3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 thickBot="1" x14ac:dyDescent="0.3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 thickBot="1" x14ac:dyDescent="0.3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 thickBot="1" x14ac:dyDescent="0.3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 thickBot="1" x14ac:dyDescent="0.3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 thickBot="1" x14ac:dyDescent="0.3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 thickBot="1" x14ac:dyDescent="0.3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 thickBot="1" x14ac:dyDescent="0.3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 thickBot="1" x14ac:dyDescent="0.3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 thickBot="1" x14ac:dyDescent="0.3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 thickBot="1" x14ac:dyDescent="0.3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 thickBot="1" x14ac:dyDescent="0.3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 thickBot="1" x14ac:dyDescent="0.3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 thickBot="1" x14ac:dyDescent="0.3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 thickBot="1" x14ac:dyDescent="0.3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 thickBot="1" x14ac:dyDescent="0.3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 thickBot="1" x14ac:dyDescent="0.3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 thickBot="1" x14ac:dyDescent="0.3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 thickBot="1" x14ac:dyDescent="0.3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 thickBot="1" x14ac:dyDescent="0.3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 thickBot="1" x14ac:dyDescent="0.3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 thickBot="1" x14ac:dyDescent="0.3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 thickBot="1" x14ac:dyDescent="0.3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 thickBot="1" x14ac:dyDescent="0.3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 thickBot="1" x14ac:dyDescent="0.3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 thickBot="1" x14ac:dyDescent="0.3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 thickBot="1" x14ac:dyDescent="0.3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 thickBot="1" x14ac:dyDescent="0.3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 thickBot="1" x14ac:dyDescent="0.3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 thickBot="1" x14ac:dyDescent="0.3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 thickBot="1" x14ac:dyDescent="0.3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 thickBot="1" x14ac:dyDescent="0.3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 thickBot="1" x14ac:dyDescent="0.3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 thickBot="1" x14ac:dyDescent="0.3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 thickBot="1" x14ac:dyDescent="0.3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 thickBot="1" x14ac:dyDescent="0.3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 thickBot="1" x14ac:dyDescent="0.3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 thickBot="1" x14ac:dyDescent="0.3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 thickBot="1" x14ac:dyDescent="0.3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 thickBot="1" x14ac:dyDescent="0.3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 thickBot="1" x14ac:dyDescent="0.3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 thickBot="1" x14ac:dyDescent="0.3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 thickBot="1" x14ac:dyDescent="0.3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 thickBot="1" x14ac:dyDescent="0.3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 thickBot="1" x14ac:dyDescent="0.3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 thickBot="1" x14ac:dyDescent="0.3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 thickBot="1" x14ac:dyDescent="0.3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 thickBot="1" x14ac:dyDescent="0.3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 thickBot="1" x14ac:dyDescent="0.3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 thickBot="1" x14ac:dyDescent="0.3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 thickBot="1" x14ac:dyDescent="0.3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 thickBot="1" x14ac:dyDescent="0.3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 thickBot="1" x14ac:dyDescent="0.3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 thickBot="1" x14ac:dyDescent="0.3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 thickBot="1" x14ac:dyDescent="0.3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 thickBot="1" x14ac:dyDescent="0.3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 thickBot="1" x14ac:dyDescent="0.3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 thickBot="1" x14ac:dyDescent="0.3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 thickBot="1" x14ac:dyDescent="0.3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 thickBot="1" x14ac:dyDescent="0.3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 thickBot="1" x14ac:dyDescent="0.3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 thickBot="1" x14ac:dyDescent="0.3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 thickBot="1" x14ac:dyDescent="0.3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 thickBot="1" x14ac:dyDescent="0.3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 thickBot="1" x14ac:dyDescent="0.3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 thickBot="1" x14ac:dyDescent="0.3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 thickBot="1" x14ac:dyDescent="0.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 thickBot="1" x14ac:dyDescent="0.3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 thickBot="1" x14ac:dyDescent="0.3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 thickBot="1" x14ac:dyDescent="0.3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 thickBot="1" x14ac:dyDescent="0.3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 thickBot="1" x14ac:dyDescent="0.3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 thickBot="1" x14ac:dyDescent="0.3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 thickBot="1" x14ac:dyDescent="0.3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 thickBot="1" x14ac:dyDescent="0.3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 thickBot="1" x14ac:dyDescent="0.3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 thickBot="1" x14ac:dyDescent="0.3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 thickBot="1" x14ac:dyDescent="0.3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 thickBot="1" x14ac:dyDescent="0.3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 thickBot="1" x14ac:dyDescent="0.3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 thickBot="1" x14ac:dyDescent="0.3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 thickBot="1" x14ac:dyDescent="0.3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 thickBot="1" x14ac:dyDescent="0.3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 thickBot="1" x14ac:dyDescent="0.3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 thickBot="1" x14ac:dyDescent="0.3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 thickBot="1" x14ac:dyDescent="0.3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 thickBot="1" x14ac:dyDescent="0.3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 thickBot="1" x14ac:dyDescent="0.3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 thickBot="1" x14ac:dyDescent="0.3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 thickBot="1" x14ac:dyDescent="0.3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 thickBot="1" x14ac:dyDescent="0.3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 thickBot="1" x14ac:dyDescent="0.3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 thickBot="1" x14ac:dyDescent="0.3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 thickBot="1" x14ac:dyDescent="0.3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 thickBot="1" x14ac:dyDescent="0.3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 thickBot="1" x14ac:dyDescent="0.3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 thickBot="1" x14ac:dyDescent="0.3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 thickBot="1" x14ac:dyDescent="0.3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 thickBot="1" x14ac:dyDescent="0.3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 thickBot="1" x14ac:dyDescent="0.3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 thickBot="1" x14ac:dyDescent="0.3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 thickBot="1" x14ac:dyDescent="0.3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 thickBot="1" x14ac:dyDescent="0.3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 thickBot="1" x14ac:dyDescent="0.3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 thickBot="1" x14ac:dyDescent="0.3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 thickBot="1" x14ac:dyDescent="0.3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 thickBot="1" x14ac:dyDescent="0.3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 thickBot="1" x14ac:dyDescent="0.3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 thickBot="1" x14ac:dyDescent="0.3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 thickBot="1" x14ac:dyDescent="0.3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 thickBot="1" x14ac:dyDescent="0.3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 thickBot="1" x14ac:dyDescent="0.3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 thickBot="1" x14ac:dyDescent="0.3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 thickBot="1" x14ac:dyDescent="0.3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 thickBot="1" x14ac:dyDescent="0.3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 thickBot="1" x14ac:dyDescent="0.3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 thickBot="1" x14ac:dyDescent="0.3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 thickBot="1" x14ac:dyDescent="0.3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 thickBot="1" x14ac:dyDescent="0.3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 thickBot="1" x14ac:dyDescent="0.3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 thickBot="1" x14ac:dyDescent="0.3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 thickBot="1" x14ac:dyDescent="0.3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 thickBot="1" x14ac:dyDescent="0.3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 thickBot="1" x14ac:dyDescent="0.3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 thickBot="1" x14ac:dyDescent="0.3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 thickBot="1" x14ac:dyDescent="0.3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 thickBot="1" x14ac:dyDescent="0.3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5" thickBot="1" x14ac:dyDescent="0.3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5" thickBot="1" x14ac:dyDescent="0.3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5" thickBot="1" x14ac:dyDescent="0.3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5" thickBot="1" x14ac:dyDescent="0.3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5" thickBot="1" x14ac:dyDescent="0.3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row r="1001" spans="1:26" ht="15" thickBot="1" x14ac:dyDescent="0.35">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row>
    <row r="1002" spans="1:26" ht="15" thickBot="1" x14ac:dyDescent="0.35">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row>
    <row r="1003" spans="1:26" ht="15" thickBot="1" x14ac:dyDescent="0.35">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row>
    <row r="1004" spans="1:26" ht="15" thickBot="1" x14ac:dyDescent="0.35">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row>
    <row r="1005" spans="1:26" ht="15" thickBot="1" x14ac:dyDescent="0.35">
      <c r="A1005" s="19"/>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row>
    <row r="1006" spans="1:26" ht="15" thickBot="1" x14ac:dyDescent="0.35">
      <c r="A1006" s="19"/>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row>
    <row r="1007" spans="1:26" ht="15" thickBot="1" x14ac:dyDescent="0.35">
      <c r="A1007" s="19"/>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row>
    <row r="1008" spans="1:26" ht="15" thickBot="1" x14ac:dyDescent="0.35">
      <c r="A1008" s="19"/>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row>
    <row r="1009" spans="1:26" ht="15" thickBot="1" x14ac:dyDescent="0.35">
      <c r="A1009" s="19"/>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row>
    <row r="1010" spans="1:26" ht="15" thickBot="1" x14ac:dyDescent="0.35">
      <c r="A1010" s="19"/>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row>
    <row r="1011" spans="1:26" ht="15" thickBot="1" x14ac:dyDescent="0.35">
      <c r="A1011" s="19"/>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row>
    <row r="1012" spans="1:26" ht="15" thickBot="1" x14ac:dyDescent="0.35">
      <c r="A1012" s="19"/>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row>
    <row r="1013" spans="1:26" ht="15" thickBot="1" x14ac:dyDescent="0.35">
      <c r="A1013" s="19"/>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row>
    <row r="1014" spans="1:26" ht="15" thickBot="1" x14ac:dyDescent="0.35">
      <c r="A1014" s="19"/>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row>
    <row r="1015" spans="1:26" ht="15" thickBot="1" x14ac:dyDescent="0.35">
      <c r="A1015" s="19"/>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row>
    <row r="1016" spans="1:26" ht="15" thickBot="1" x14ac:dyDescent="0.35">
      <c r="A1016" s="19"/>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row>
    <row r="1017" spans="1:26" ht="15" thickBot="1" x14ac:dyDescent="0.35">
      <c r="A1017" s="19"/>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row>
    <row r="1018" spans="1:26" ht="15" thickBot="1" x14ac:dyDescent="0.35">
      <c r="A1018" s="19"/>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row>
    <row r="1019" spans="1:26" ht="15" thickBot="1" x14ac:dyDescent="0.35">
      <c r="A1019" s="19"/>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row>
    <row r="1020" spans="1:26" ht="15" thickBot="1" x14ac:dyDescent="0.35">
      <c r="A1020" s="19"/>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row>
    <row r="1021" spans="1:26" ht="15" thickBot="1" x14ac:dyDescent="0.35">
      <c r="A1021" s="19"/>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row>
    <row r="1022" spans="1:26" ht="15" thickBot="1" x14ac:dyDescent="0.35">
      <c r="A1022" s="19"/>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row>
    <row r="1023" spans="1:26" ht="15" thickBot="1" x14ac:dyDescent="0.35">
      <c r="A1023" s="19"/>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row>
    <row r="1024" spans="1:26" ht="15" thickBot="1" x14ac:dyDescent="0.35">
      <c r="A1024" s="19"/>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row>
    <row r="1025" spans="1:26" ht="15" thickBot="1" x14ac:dyDescent="0.35">
      <c r="A1025" s="19"/>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row>
    <row r="1026" spans="1:26" ht="15" thickBot="1" x14ac:dyDescent="0.35">
      <c r="A1026" s="19"/>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row>
    <row r="1027" spans="1:26" ht="15" thickBot="1" x14ac:dyDescent="0.35">
      <c r="A1027" s="19"/>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row>
    <row r="1028" spans="1:26" ht="15" thickBot="1" x14ac:dyDescent="0.35">
      <c r="A1028" s="19"/>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row>
    <row r="1029" spans="1:26" ht="15" thickBot="1" x14ac:dyDescent="0.35">
      <c r="A1029" s="19"/>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row>
    <row r="1030" spans="1:26" ht="15" thickBot="1" x14ac:dyDescent="0.35">
      <c r="A1030" s="19"/>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row>
    <row r="1031" spans="1:26" ht="15" thickBot="1" x14ac:dyDescent="0.35">
      <c r="A1031" s="19"/>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row>
    <row r="1032" spans="1:26" ht="15" thickBot="1" x14ac:dyDescent="0.35">
      <c r="A1032" s="19"/>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row>
    <row r="1033" spans="1:26" ht="15" thickBot="1" x14ac:dyDescent="0.35">
      <c r="A1033" s="19"/>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row>
    <row r="1034" spans="1:26" ht="15" thickBot="1" x14ac:dyDescent="0.35">
      <c r="A1034" s="19"/>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row>
    <row r="1035" spans="1:26" ht="15" thickBot="1" x14ac:dyDescent="0.35">
      <c r="A1035" s="19"/>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row>
    <row r="1036" spans="1:26" ht="15" thickBot="1" x14ac:dyDescent="0.35">
      <c r="A1036" s="19"/>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row>
    <row r="1037" spans="1:26" ht="15" thickBot="1" x14ac:dyDescent="0.35">
      <c r="A1037" s="19"/>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row>
    <row r="1038" spans="1:26" ht="15" thickBot="1" x14ac:dyDescent="0.35">
      <c r="A1038" s="19"/>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row>
    <row r="1039" spans="1:26" ht="15" thickBot="1" x14ac:dyDescent="0.35">
      <c r="A1039" s="19"/>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row>
    <row r="1040" spans="1:26" ht="15" thickBot="1" x14ac:dyDescent="0.35">
      <c r="A1040" s="19"/>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row>
    <row r="1041" spans="1:26" ht="15" thickBot="1" x14ac:dyDescent="0.35">
      <c r="A1041" s="19"/>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row>
    <row r="1042" spans="1:26" ht="15" thickBot="1" x14ac:dyDescent="0.35">
      <c r="A1042" s="19"/>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row>
    <row r="1043" spans="1:26" ht="15" thickBot="1" x14ac:dyDescent="0.35">
      <c r="A1043" s="19"/>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row>
    <row r="1044" spans="1:26" ht="15" thickBot="1" x14ac:dyDescent="0.35">
      <c r="A1044" s="19"/>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row>
    <row r="1045" spans="1:26" ht="15" thickBot="1" x14ac:dyDescent="0.35">
      <c r="A1045" s="19"/>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row>
    <row r="1046" spans="1:26" ht="15" thickBot="1" x14ac:dyDescent="0.35">
      <c r="A1046" s="19"/>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row>
    <row r="1047" spans="1:26" ht="15" thickBot="1" x14ac:dyDescent="0.35">
      <c r="A1047" s="19"/>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row>
    <row r="1048" spans="1:26" ht="15" thickBot="1" x14ac:dyDescent="0.35">
      <c r="A1048" s="19"/>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row>
    <row r="1049" spans="1:26" ht="15" thickBot="1" x14ac:dyDescent="0.35">
      <c r="A1049" s="19"/>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row>
    <row r="1050" spans="1:26" ht="15" thickBot="1" x14ac:dyDescent="0.35">
      <c r="A1050" s="19"/>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row>
    <row r="1051" spans="1:26" ht="15" thickBot="1" x14ac:dyDescent="0.35">
      <c r="A1051" s="19"/>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row>
    <row r="1052" spans="1:26" ht="15" thickBot="1" x14ac:dyDescent="0.35">
      <c r="A1052" s="19"/>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row>
    <row r="1053" spans="1:26" ht="15" thickBot="1" x14ac:dyDescent="0.35">
      <c r="A1053" s="19"/>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row>
    <row r="1054" spans="1:26" ht="15" thickBot="1" x14ac:dyDescent="0.35">
      <c r="A1054" s="19"/>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row>
    <row r="1055" spans="1:26" ht="15" thickBot="1" x14ac:dyDescent="0.35">
      <c r="A1055" s="19"/>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row>
    <row r="1056" spans="1:26" ht="15" thickBot="1" x14ac:dyDescent="0.35">
      <c r="A1056" s="19"/>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row>
    <row r="1057" spans="1:26" ht="15" thickBot="1" x14ac:dyDescent="0.35">
      <c r="A1057" s="19"/>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row>
    <row r="1058" spans="1:26" ht="15" thickBot="1" x14ac:dyDescent="0.35">
      <c r="A1058" s="19"/>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row>
    <row r="1059" spans="1:26" ht="15" thickBot="1" x14ac:dyDescent="0.35">
      <c r="A1059" s="19"/>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row>
    <row r="1060" spans="1:26" ht="15" thickBot="1" x14ac:dyDescent="0.35">
      <c r="A1060" s="19"/>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row>
    <row r="1061" spans="1:26" ht="15" thickBot="1" x14ac:dyDescent="0.35">
      <c r="A1061" s="19"/>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row>
    <row r="1062" spans="1:26" ht="15" thickBot="1" x14ac:dyDescent="0.35">
      <c r="A1062" s="19"/>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row>
    <row r="1063" spans="1:26" ht="15" thickBot="1" x14ac:dyDescent="0.35">
      <c r="A1063" s="19"/>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row>
    <row r="1064" spans="1:26" ht="15" thickBot="1" x14ac:dyDescent="0.35">
      <c r="A1064" s="19"/>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row>
    <row r="1065" spans="1:26" ht="15" thickBot="1" x14ac:dyDescent="0.35">
      <c r="A1065" s="19"/>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row>
    <row r="1066" spans="1:26" ht="15" thickBot="1" x14ac:dyDescent="0.35">
      <c r="A1066" s="19"/>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row>
    <row r="1067" spans="1:26" ht="15" thickBot="1" x14ac:dyDescent="0.35">
      <c r="A1067" s="19"/>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row>
    <row r="1068" spans="1:26" ht="15" thickBot="1" x14ac:dyDescent="0.35">
      <c r="A1068" s="19"/>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row>
    <row r="1069" spans="1:26" ht="15" thickBot="1" x14ac:dyDescent="0.35">
      <c r="A1069" s="19"/>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row>
    <row r="1070" spans="1:26" ht="15" thickBot="1" x14ac:dyDescent="0.35">
      <c r="A1070" s="19"/>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row>
    <row r="1071" spans="1:26" ht="15" thickBot="1" x14ac:dyDescent="0.35">
      <c r="A1071" s="19"/>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row>
    <row r="1072" spans="1:26" ht="15" thickBot="1" x14ac:dyDescent="0.35">
      <c r="A1072" s="19"/>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row>
    <row r="1073" spans="1:26" ht="15" thickBot="1" x14ac:dyDescent="0.35">
      <c r="A1073" s="19"/>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row>
    <row r="1074" spans="1:26" ht="15" thickBot="1" x14ac:dyDescent="0.35">
      <c r="A1074" s="19"/>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row>
    <row r="1075" spans="1:26" ht="15" thickBot="1" x14ac:dyDescent="0.35">
      <c r="A1075" s="19"/>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row>
    <row r="1076" spans="1:26" ht="15" thickBot="1" x14ac:dyDescent="0.35">
      <c r="A1076" s="19"/>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row>
    <row r="1077" spans="1:26" ht="15" thickBot="1" x14ac:dyDescent="0.35">
      <c r="A1077" s="19"/>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row>
    <row r="1078" spans="1:26" ht="15" thickBot="1" x14ac:dyDescent="0.35">
      <c r="A1078" s="19"/>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row>
    <row r="1079" spans="1:26" ht="15" thickBot="1" x14ac:dyDescent="0.35">
      <c r="A1079" s="19"/>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row>
    <row r="1080" spans="1:26" ht="15" thickBot="1" x14ac:dyDescent="0.35">
      <c r="A1080" s="19"/>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row>
    <row r="1081" spans="1:26" ht="15" thickBot="1" x14ac:dyDescent="0.35">
      <c r="A1081" s="19"/>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row>
    <row r="1082" spans="1:26" ht="15" thickBot="1" x14ac:dyDescent="0.35">
      <c r="A1082" s="19"/>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row>
    <row r="1083" spans="1:26" ht="15" thickBot="1" x14ac:dyDescent="0.35">
      <c r="A1083" s="19"/>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row>
    <row r="1084" spans="1:26" ht="15" thickBot="1" x14ac:dyDescent="0.35">
      <c r="A1084" s="19"/>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row>
    <row r="1085" spans="1:26" ht="15" thickBot="1" x14ac:dyDescent="0.35">
      <c r="A1085" s="19"/>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row>
    <row r="1086" spans="1:26" ht="15" thickBot="1" x14ac:dyDescent="0.35">
      <c r="A1086" s="19"/>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row>
    <row r="1087" spans="1:26" ht="15" thickBot="1" x14ac:dyDescent="0.35">
      <c r="A1087" s="19"/>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row>
    <row r="1088" spans="1:26" ht="15" thickBot="1" x14ac:dyDescent="0.35">
      <c r="A1088" s="19"/>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row>
    <row r="1089" spans="1:26" ht="15" thickBot="1" x14ac:dyDescent="0.35">
      <c r="A1089" s="19"/>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row>
    <row r="1090" spans="1:26" ht="15" thickBot="1" x14ac:dyDescent="0.35">
      <c r="A1090" s="19"/>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row>
    <row r="1091" spans="1:26" ht="15" thickBot="1" x14ac:dyDescent="0.35">
      <c r="A1091" s="19"/>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row>
    <row r="1092" spans="1:26" ht="15" thickBot="1" x14ac:dyDescent="0.35">
      <c r="A1092" s="19"/>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row>
    <row r="1093" spans="1:26" ht="15" thickBot="1" x14ac:dyDescent="0.35">
      <c r="A1093" s="19"/>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row>
    <row r="1094" spans="1:26" ht="15" thickBot="1" x14ac:dyDescent="0.35">
      <c r="A1094" s="19"/>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row>
    <row r="1095" spans="1:26" ht="15" thickBot="1" x14ac:dyDescent="0.35">
      <c r="A1095" s="19"/>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row>
    <row r="1096" spans="1:26" ht="15" thickBot="1" x14ac:dyDescent="0.35">
      <c r="A1096" s="19"/>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row>
    <row r="1097" spans="1:26" ht="15" thickBot="1" x14ac:dyDescent="0.35">
      <c r="A1097" s="19"/>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row>
    <row r="1098" spans="1:26" ht="15" thickBot="1" x14ac:dyDescent="0.35">
      <c r="A1098" s="19"/>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row>
    <row r="1099" spans="1:26" ht="15" thickBot="1" x14ac:dyDescent="0.35">
      <c r="A1099" s="19"/>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row>
    <row r="1100" spans="1:26" ht="15" thickBot="1" x14ac:dyDescent="0.35">
      <c r="A1100" s="19"/>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row>
    <row r="1101" spans="1:26" ht="15" thickBot="1" x14ac:dyDescent="0.35">
      <c r="A1101" s="19"/>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row>
    <row r="1102" spans="1:26" ht="15" thickBot="1" x14ac:dyDescent="0.35">
      <c r="A1102" s="19"/>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row>
    <row r="1103" spans="1:26" ht="15" thickBot="1" x14ac:dyDescent="0.35">
      <c r="A1103" s="19"/>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row>
    <row r="1104" spans="1:26" ht="15" thickBot="1" x14ac:dyDescent="0.35">
      <c r="A1104" s="19"/>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row>
    <row r="1105" spans="1:26" ht="15" thickBot="1" x14ac:dyDescent="0.35">
      <c r="A1105" s="19"/>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row>
    <row r="1106" spans="1:26" ht="15" thickBot="1" x14ac:dyDescent="0.35">
      <c r="A1106" s="19"/>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row>
    <row r="1107" spans="1:26" ht="15" thickBot="1" x14ac:dyDescent="0.35">
      <c r="A1107" s="19"/>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row>
    <row r="1108" spans="1:26" ht="15" thickBot="1" x14ac:dyDescent="0.35">
      <c r="A1108" s="19"/>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row>
    <row r="1109" spans="1:26" ht="15" thickBot="1" x14ac:dyDescent="0.35">
      <c r="A1109" s="19"/>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row>
    <row r="1110" spans="1:26" ht="15" thickBot="1" x14ac:dyDescent="0.35">
      <c r="A1110" s="19"/>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row>
    <row r="1111" spans="1:26" ht="15" thickBot="1" x14ac:dyDescent="0.35">
      <c r="A1111" s="19"/>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row>
    <row r="1112" spans="1:26" ht="15" thickBot="1" x14ac:dyDescent="0.35">
      <c r="A1112" s="19"/>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row>
    <row r="1113" spans="1:26" ht="15" thickBot="1" x14ac:dyDescent="0.35">
      <c r="A1113" s="19"/>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row>
    <row r="1114" spans="1:26" ht="15" thickBot="1" x14ac:dyDescent="0.35">
      <c r="A1114" s="19"/>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row>
    <row r="1115" spans="1:26" ht="15" thickBot="1" x14ac:dyDescent="0.35">
      <c r="A1115" s="19"/>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row>
    <row r="1116" spans="1:26" ht="15" thickBot="1" x14ac:dyDescent="0.35">
      <c r="A1116" s="19"/>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row>
    <row r="1117" spans="1:26" ht="15" thickBot="1" x14ac:dyDescent="0.35">
      <c r="A1117" s="19"/>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row>
    <row r="1118" spans="1:26" ht="15" thickBot="1" x14ac:dyDescent="0.35">
      <c r="A1118" s="19"/>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row>
    <row r="1119" spans="1:26" ht="15" thickBot="1" x14ac:dyDescent="0.35">
      <c r="A1119" s="19"/>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row>
    <row r="1120" spans="1:26" ht="15" thickBot="1" x14ac:dyDescent="0.35">
      <c r="A1120" s="19"/>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row>
    <row r="1121" spans="1:26" ht="15" thickBot="1" x14ac:dyDescent="0.35">
      <c r="A1121" s="19"/>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row>
    <row r="1122" spans="1:26" ht="15" thickBot="1" x14ac:dyDescent="0.35">
      <c r="A1122" s="19"/>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row>
    <row r="1123" spans="1:26" ht="15" thickBot="1" x14ac:dyDescent="0.35">
      <c r="A1123" s="19"/>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row>
    <row r="1124" spans="1:26" ht="15" thickBot="1" x14ac:dyDescent="0.35">
      <c r="A1124" s="19"/>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row>
    <row r="1125" spans="1:26" ht="15" thickBot="1" x14ac:dyDescent="0.35">
      <c r="A1125" s="19"/>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row>
    <row r="1126" spans="1:26" ht="15" thickBot="1" x14ac:dyDescent="0.35">
      <c r="A1126" s="19"/>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row>
    <row r="1127" spans="1:26" ht="15" thickBot="1" x14ac:dyDescent="0.35">
      <c r="A1127" s="19"/>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row>
    <row r="1128" spans="1:26" ht="15" thickBot="1" x14ac:dyDescent="0.35">
      <c r="A1128" s="19"/>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row>
    <row r="1129" spans="1:26" ht="15" thickBot="1" x14ac:dyDescent="0.35">
      <c r="A1129" s="19"/>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row>
    <row r="1130" spans="1:26" ht="15" thickBot="1" x14ac:dyDescent="0.35">
      <c r="A1130" s="19"/>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row>
    <row r="1131" spans="1:26" ht="15" thickBot="1" x14ac:dyDescent="0.35">
      <c r="A1131" s="19"/>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row>
    <row r="1132" spans="1:26" ht="15" thickBot="1" x14ac:dyDescent="0.35">
      <c r="A1132" s="19"/>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row>
    <row r="1133" spans="1:26" ht="15" thickBot="1" x14ac:dyDescent="0.35">
      <c r="A1133" s="19"/>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row>
    <row r="1134" spans="1:26" ht="15" thickBot="1" x14ac:dyDescent="0.35">
      <c r="A1134" s="19"/>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row>
    <row r="1135" spans="1:26" ht="15" thickBot="1" x14ac:dyDescent="0.35">
      <c r="A1135" s="19"/>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row>
    <row r="1136" spans="1:26" ht="15" thickBot="1" x14ac:dyDescent="0.35">
      <c r="A1136" s="19"/>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row>
    <row r="1137" spans="1:26" ht="15" thickBot="1" x14ac:dyDescent="0.35">
      <c r="A1137" s="19"/>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row>
    <row r="1138" spans="1:26" ht="15" thickBot="1" x14ac:dyDescent="0.35">
      <c r="A1138" s="19"/>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row>
    <row r="1139" spans="1:26" ht="15" thickBot="1" x14ac:dyDescent="0.35">
      <c r="A1139" s="19"/>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row>
    <row r="1140" spans="1:26" ht="15" thickBot="1" x14ac:dyDescent="0.35">
      <c r="A1140" s="19"/>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row>
    <row r="1141" spans="1:26" ht="15" thickBot="1" x14ac:dyDescent="0.35">
      <c r="A1141" s="19"/>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row>
    <row r="1142" spans="1:26" ht="15" thickBot="1" x14ac:dyDescent="0.35">
      <c r="A1142" s="19"/>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row>
    <row r="1143" spans="1:26" ht="15" thickBot="1" x14ac:dyDescent="0.35">
      <c r="A1143" s="19"/>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row>
    <row r="1144" spans="1:26" ht="15" thickBot="1" x14ac:dyDescent="0.35">
      <c r="A1144" s="19"/>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row>
    <row r="1145" spans="1:26" ht="15" thickBot="1" x14ac:dyDescent="0.35">
      <c r="A1145" s="19"/>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row>
    <row r="1146" spans="1:26" ht="15" thickBot="1" x14ac:dyDescent="0.35">
      <c r="A1146" s="19"/>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row>
    <row r="1147" spans="1:26" ht="15" thickBot="1" x14ac:dyDescent="0.35">
      <c r="A1147" s="19"/>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row>
    <row r="1148" spans="1:26" ht="15" thickBot="1" x14ac:dyDescent="0.35">
      <c r="A1148" s="19"/>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row>
    <row r="1149" spans="1:26" ht="15" thickBot="1" x14ac:dyDescent="0.35">
      <c r="A1149" s="19"/>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row>
    <row r="1150" spans="1:26" ht="15" thickBot="1" x14ac:dyDescent="0.35">
      <c r="A1150" s="19"/>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row>
    <row r="1151" spans="1:26" ht="15" thickBot="1" x14ac:dyDescent="0.35">
      <c r="A1151" s="19"/>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row>
    <row r="1152" spans="1:26" ht="15" thickBot="1" x14ac:dyDescent="0.35">
      <c r="A1152" s="19"/>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row>
    <row r="1153" spans="1:26" ht="15" thickBot="1" x14ac:dyDescent="0.35">
      <c r="A1153" s="19"/>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row>
    <row r="1154" spans="1:26" ht="15" thickBot="1" x14ac:dyDescent="0.35">
      <c r="A1154" s="19"/>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row>
    <row r="1155" spans="1:26" ht="15" thickBot="1" x14ac:dyDescent="0.35">
      <c r="A1155" s="19"/>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row>
    <row r="1156" spans="1:26" ht="15" thickBot="1" x14ac:dyDescent="0.35">
      <c r="A1156" s="19"/>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row>
    <row r="1157" spans="1:26" ht="15" thickBot="1" x14ac:dyDescent="0.35">
      <c r="A1157" s="19"/>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row>
    <row r="1158" spans="1:26" ht="15" thickBot="1" x14ac:dyDescent="0.35">
      <c r="A1158" s="19"/>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row>
    <row r="1159" spans="1:26" ht="15" thickBot="1" x14ac:dyDescent="0.35">
      <c r="A1159" s="19"/>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row>
    <row r="1160" spans="1:26" ht="15" thickBot="1" x14ac:dyDescent="0.35">
      <c r="A1160" s="19"/>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row>
    <row r="1161" spans="1:26" ht="15" thickBot="1" x14ac:dyDescent="0.35">
      <c r="A1161" s="19"/>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row>
    <row r="1162" spans="1:26" ht="15" thickBot="1" x14ac:dyDescent="0.35">
      <c r="A1162" s="19"/>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row>
    <row r="1163" spans="1:26" ht="15" thickBot="1" x14ac:dyDescent="0.35">
      <c r="A1163" s="19"/>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row>
    <row r="1164" spans="1:26" ht="15" thickBot="1" x14ac:dyDescent="0.35">
      <c r="A1164" s="19"/>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row>
    <row r="1165" spans="1:26" ht="15" thickBot="1" x14ac:dyDescent="0.35">
      <c r="A1165" s="19"/>
      <c r="B1165" s="19"/>
      <c r="C1165" s="19"/>
      <c r="D1165" s="19"/>
      <c r="E1165" s="19"/>
      <c r="F1165" s="19"/>
      <c r="G1165" s="19"/>
      <c r="H1165" s="19"/>
      <c r="I1165" s="19"/>
      <c r="J1165" s="19"/>
      <c r="K1165" s="19"/>
      <c r="L1165" s="19"/>
      <c r="M1165" s="19"/>
      <c r="N1165" s="19"/>
      <c r="O1165" s="19"/>
      <c r="P1165" s="19"/>
      <c r="Q1165" s="19"/>
      <c r="R1165" s="19"/>
      <c r="S1165" s="19"/>
      <c r="T1165" s="19"/>
      <c r="U1165" s="19"/>
      <c r="V1165" s="19"/>
      <c r="W1165" s="19"/>
      <c r="X1165" s="19"/>
      <c r="Y1165" s="19"/>
      <c r="Z1165" s="19"/>
    </row>
    <row r="1166" spans="1:26" ht="15" thickBot="1" x14ac:dyDescent="0.35">
      <c r="A1166" s="19"/>
      <c r="B1166" s="19"/>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c r="Z1166" s="19"/>
    </row>
    <row r="1167" spans="1:26" ht="15" thickBot="1" x14ac:dyDescent="0.35">
      <c r="A1167" s="19"/>
      <c r="B1167" s="19"/>
      <c r="C1167" s="19"/>
      <c r="D1167" s="19"/>
      <c r="E1167" s="19"/>
      <c r="F1167" s="19"/>
      <c r="G1167" s="19"/>
      <c r="H1167" s="19"/>
      <c r="I1167" s="19"/>
      <c r="J1167" s="19"/>
      <c r="K1167" s="19"/>
      <c r="L1167" s="19"/>
      <c r="M1167" s="19"/>
      <c r="N1167" s="19"/>
      <c r="O1167" s="19"/>
      <c r="P1167" s="19"/>
      <c r="Q1167" s="19"/>
      <c r="R1167" s="19"/>
      <c r="S1167" s="19"/>
      <c r="T1167" s="19"/>
      <c r="U1167" s="19"/>
      <c r="V1167" s="19"/>
      <c r="W1167" s="19"/>
      <c r="X1167" s="19"/>
      <c r="Y1167" s="19"/>
      <c r="Z1167" s="19"/>
    </row>
    <row r="1168" spans="1:26" ht="15" thickBot="1" x14ac:dyDescent="0.35">
      <c r="A1168" s="19"/>
      <c r="B1168" s="19"/>
      <c r="C1168" s="19"/>
      <c r="D1168" s="19"/>
      <c r="E1168" s="19"/>
      <c r="F1168" s="19"/>
      <c r="G1168" s="19"/>
      <c r="H1168" s="19"/>
      <c r="I1168" s="19"/>
      <c r="J1168" s="19"/>
      <c r="K1168" s="19"/>
      <c r="L1168" s="19"/>
      <c r="M1168" s="19"/>
      <c r="N1168" s="19"/>
      <c r="O1168" s="19"/>
      <c r="P1168" s="19"/>
      <c r="Q1168" s="19"/>
      <c r="R1168" s="19"/>
      <c r="S1168" s="19"/>
      <c r="T1168" s="19"/>
      <c r="U1168" s="19"/>
      <c r="V1168" s="19"/>
      <c r="W1168" s="19"/>
      <c r="X1168" s="19"/>
      <c r="Y1168" s="19"/>
      <c r="Z1168" s="19"/>
    </row>
    <row r="1169" spans="1:26" ht="15" thickBot="1" x14ac:dyDescent="0.35">
      <c r="A1169" s="19"/>
      <c r="B1169" s="19"/>
      <c r="C1169" s="19"/>
      <c r="D1169" s="19"/>
      <c r="E1169" s="19"/>
      <c r="F1169" s="19"/>
      <c r="G1169" s="19"/>
      <c r="H1169" s="19"/>
      <c r="I1169" s="19"/>
      <c r="J1169" s="19"/>
      <c r="K1169" s="19"/>
      <c r="L1169" s="19"/>
      <c r="M1169" s="19"/>
      <c r="N1169" s="19"/>
      <c r="O1169" s="19"/>
      <c r="P1169" s="19"/>
      <c r="Q1169" s="19"/>
      <c r="R1169" s="19"/>
      <c r="S1169" s="19"/>
      <c r="T1169" s="19"/>
      <c r="U1169" s="19"/>
      <c r="V1169" s="19"/>
      <c r="W1169" s="19"/>
      <c r="X1169" s="19"/>
      <c r="Y1169" s="19"/>
      <c r="Z1169" s="19"/>
    </row>
    <row r="1170" spans="1:26" ht="15" thickBot="1" x14ac:dyDescent="0.35">
      <c r="A1170" s="19"/>
      <c r="B1170" s="19"/>
      <c r="C1170" s="19"/>
      <c r="D1170" s="19"/>
      <c r="E1170" s="19"/>
      <c r="F1170" s="19"/>
      <c r="G1170" s="19"/>
      <c r="H1170" s="19"/>
      <c r="I1170" s="19"/>
      <c r="J1170" s="19"/>
      <c r="K1170" s="19"/>
      <c r="L1170" s="19"/>
      <c r="M1170" s="19"/>
      <c r="N1170" s="19"/>
      <c r="O1170" s="19"/>
      <c r="P1170" s="19"/>
      <c r="Q1170" s="19"/>
      <c r="R1170" s="19"/>
      <c r="S1170" s="19"/>
      <c r="T1170" s="19"/>
      <c r="U1170" s="19"/>
      <c r="V1170" s="19"/>
      <c r="W1170" s="19"/>
      <c r="X1170" s="19"/>
      <c r="Y1170" s="19"/>
      <c r="Z1170" s="19"/>
    </row>
    <row r="1171" spans="1:26" ht="15" thickBot="1" x14ac:dyDescent="0.35">
      <c r="A1171" s="19"/>
      <c r="B1171" s="19"/>
      <c r="C1171" s="19"/>
      <c r="D1171" s="19"/>
      <c r="E1171" s="19"/>
      <c r="F1171" s="19"/>
      <c r="G1171" s="19"/>
      <c r="H1171" s="19"/>
      <c r="I1171" s="19"/>
      <c r="J1171" s="19"/>
      <c r="K1171" s="19"/>
      <c r="L1171" s="19"/>
      <c r="M1171" s="19"/>
      <c r="N1171" s="19"/>
      <c r="O1171" s="19"/>
      <c r="P1171" s="19"/>
      <c r="Q1171" s="19"/>
      <c r="R1171" s="19"/>
      <c r="S1171" s="19"/>
      <c r="T1171" s="19"/>
      <c r="U1171" s="19"/>
      <c r="V1171" s="19"/>
      <c r="W1171" s="19"/>
      <c r="X1171" s="19"/>
      <c r="Y1171" s="19"/>
      <c r="Z1171" s="19"/>
    </row>
    <row r="1172" spans="1:26" ht="15" thickBot="1" x14ac:dyDescent="0.35">
      <c r="A1172" s="19"/>
      <c r="B1172" s="19"/>
      <c r="C1172" s="19"/>
      <c r="D1172" s="19"/>
      <c r="E1172" s="19"/>
      <c r="F1172" s="19"/>
      <c r="G1172" s="19"/>
      <c r="H1172" s="19"/>
      <c r="I1172" s="19"/>
      <c r="J1172" s="19"/>
      <c r="K1172" s="19"/>
      <c r="L1172" s="19"/>
      <c r="M1172" s="19"/>
      <c r="N1172" s="19"/>
      <c r="O1172" s="19"/>
      <c r="P1172" s="19"/>
      <c r="Q1172" s="19"/>
      <c r="R1172" s="19"/>
      <c r="S1172" s="19"/>
      <c r="T1172" s="19"/>
      <c r="U1172" s="19"/>
      <c r="V1172" s="19"/>
      <c r="W1172" s="19"/>
      <c r="X1172" s="19"/>
      <c r="Y1172" s="19"/>
      <c r="Z1172" s="19"/>
    </row>
    <row r="1173" spans="1:26" ht="15" thickBot="1" x14ac:dyDescent="0.35">
      <c r="A1173" s="19"/>
      <c r="B1173" s="19"/>
      <c r="C1173" s="19"/>
      <c r="D1173" s="19"/>
      <c r="E1173" s="19"/>
      <c r="F1173" s="19"/>
      <c r="G1173" s="19"/>
      <c r="H1173" s="19"/>
      <c r="I1173" s="19"/>
      <c r="J1173" s="19"/>
      <c r="K1173" s="19"/>
      <c r="L1173" s="19"/>
      <c r="M1173" s="19"/>
      <c r="N1173" s="19"/>
      <c r="O1173" s="19"/>
      <c r="P1173" s="19"/>
      <c r="Q1173" s="19"/>
      <c r="R1173" s="19"/>
      <c r="S1173" s="19"/>
      <c r="T1173" s="19"/>
      <c r="U1173" s="19"/>
      <c r="V1173" s="19"/>
      <c r="W1173" s="19"/>
      <c r="X1173" s="19"/>
      <c r="Y1173" s="19"/>
      <c r="Z1173" s="19"/>
    </row>
    <row r="1174" spans="1:26" ht="15" thickBot="1" x14ac:dyDescent="0.35">
      <c r="A1174" s="19"/>
      <c r="B1174" s="19"/>
      <c r="C1174" s="19"/>
      <c r="D1174" s="19"/>
      <c r="E1174" s="19"/>
      <c r="F1174" s="19"/>
      <c r="G1174" s="19"/>
      <c r="H1174" s="19"/>
      <c r="I1174" s="19"/>
      <c r="J1174" s="19"/>
      <c r="K1174" s="19"/>
      <c r="L1174" s="19"/>
      <c r="M1174" s="19"/>
      <c r="N1174" s="19"/>
      <c r="O1174" s="19"/>
      <c r="P1174" s="19"/>
      <c r="Q1174" s="19"/>
      <c r="R1174" s="19"/>
      <c r="S1174" s="19"/>
      <c r="T1174" s="19"/>
      <c r="U1174" s="19"/>
      <c r="V1174" s="19"/>
      <c r="W1174" s="19"/>
      <c r="X1174" s="19"/>
      <c r="Y1174" s="19"/>
      <c r="Z1174" s="19"/>
    </row>
    <row r="1175" spans="1:26" ht="15" thickBot="1" x14ac:dyDescent="0.35">
      <c r="A1175" s="19"/>
      <c r="B1175" s="19"/>
      <c r="C1175" s="19"/>
      <c r="D1175" s="19"/>
      <c r="E1175" s="19"/>
      <c r="F1175" s="19"/>
      <c r="G1175" s="19"/>
      <c r="H1175" s="19"/>
      <c r="I1175" s="19"/>
      <c r="J1175" s="19"/>
      <c r="K1175" s="19"/>
      <c r="L1175" s="19"/>
      <c r="M1175" s="19"/>
      <c r="N1175" s="19"/>
      <c r="O1175" s="19"/>
      <c r="P1175" s="19"/>
      <c r="Q1175" s="19"/>
      <c r="R1175" s="19"/>
      <c r="S1175" s="19"/>
      <c r="T1175" s="19"/>
      <c r="U1175" s="19"/>
      <c r="V1175" s="19"/>
      <c r="W1175" s="19"/>
      <c r="X1175" s="19"/>
      <c r="Y1175" s="19"/>
      <c r="Z1175" s="19"/>
    </row>
    <row r="1176" spans="1:26" ht="15" thickBot="1" x14ac:dyDescent="0.35">
      <c r="A1176" s="19"/>
      <c r="B1176" s="19"/>
      <c r="C1176" s="19"/>
      <c r="D1176" s="19"/>
      <c r="E1176" s="19"/>
      <c r="F1176" s="19"/>
      <c r="G1176" s="19"/>
      <c r="H1176" s="19"/>
      <c r="I1176" s="19"/>
      <c r="J1176" s="19"/>
      <c r="K1176" s="19"/>
      <c r="L1176" s="19"/>
      <c r="M1176" s="19"/>
      <c r="N1176" s="19"/>
      <c r="O1176" s="19"/>
      <c r="P1176" s="19"/>
      <c r="Q1176" s="19"/>
      <c r="R1176" s="19"/>
      <c r="S1176" s="19"/>
      <c r="T1176" s="19"/>
      <c r="U1176" s="19"/>
      <c r="V1176" s="19"/>
      <c r="W1176" s="19"/>
      <c r="X1176" s="19"/>
      <c r="Y1176" s="19"/>
      <c r="Z1176" s="19"/>
    </row>
    <row r="1177" spans="1:26" ht="15" thickBot="1" x14ac:dyDescent="0.35">
      <c r="A1177" s="19"/>
      <c r="B1177" s="19"/>
      <c r="C1177" s="19"/>
      <c r="D1177" s="19"/>
      <c r="E1177" s="19"/>
      <c r="F1177" s="19"/>
      <c r="G1177" s="19"/>
      <c r="H1177" s="19"/>
      <c r="I1177" s="19"/>
      <c r="J1177" s="19"/>
      <c r="K1177" s="19"/>
      <c r="L1177" s="19"/>
      <c r="M1177" s="19"/>
      <c r="N1177" s="19"/>
      <c r="O1177" s="19"/>
      <c r="P1177" s="19"/>
      <c r="Q1177" s="19"/>
      <c r="R1177" s="19"/>
      <c r="S1177" s="19"/>
      <c r="T1177" s="19"/>
      <c r="U1177" s="19"/>
      <c r="V1177" s="19"/>
      <c r="W1177" s="19"/>
      <c r="X1177" s="19"/>
      <c r="Y1177" s="19"/>
      <c r="Z1177" s="19"/>
    </row>
    <row r="1178" spans="1:26" ht="15" thickBot="1" x14ac:dyDescent="0.35">
      <c r="A1178" s="19"/>
      <c r="B1178" s="19"/>
      <c r="C1178" s="19"/>
      <c r="D1178" s="19"/>
      <c r="E1178" s="19"/>
      <c r="F1178" s="19"/>
      <c r="G1178" s="19"/>
      <c r="H1178" s="19"/>
      <c r="I1178" s="19"/>
      <c r="J1178" s="19"/>
      <c r="K1178" s="19"/>
      <c r="L1178" s="19"/>
      <c r="M1178" s="19"/>
      <c r="N1178" s="19"/>
      <c r="O1178" s="19"/>
      <c r="P1178" s="19"/>
      <c r="Q1178" s="19"/>
      <c r="R1178" s="19"/>
      <c r="S1178" s="19"/>
      <c r="T1178" s="19"/>
      <c r="U1178" s="19"/>
      <c r="V1178" s="19"/>
      <c r="W1178" s="19"/>
      <c r="X1178" s="19"/>
      <c r="Y1178" s="19"/>
      <c r="Z1178" s="19"/>
    </row>
    <row r="1179" spans="1:26" ht="15" thickBot="1" x14ac:dyDescent="0.35">
      <c r="A1179" s="19"/>
      <c r="B1179" s="19"/>
      <c r="C1179" s="19"/>
      <c r="D1179" s="19"/>
      <c r="E1179" s="19"/>
      <c r="F1179" s="19"/>
      <c r="G1179" s="19"/>
      <c r="H1179" s="19"/>
      <c r="I1179" s="19"/>
      <c r="J1179" s="19"/>
      <c r="K1179" s="19"/>
      <c r="L1179" s="19"/>
      <c r="M1179" s="19"/>
      <c r="N1179" s="19"/>
      <c r="O1179" s="19"/>
      <c r="P1179" s="19"/>
      <c r="Q1179" s="19"/>
      <c r="R1179" s="19"/>
      <c r="S1179" s="19"/>
      <c r="T1179" s="19"/>
      <c r="U1179" s="19"/>
      <c r="V1179" s="19"/>
      <c r="W1179" s="19"/>
      <c r="X1179" s="19"/>
      <c r="Y1179" s="19"/>
      <c r="Z1179" s="19"/>
    </row>
    <row r="1180" spans="1:26" ht="15" thickBot="1" x14ac:dyDescent="0.35">
      <c r="A1180" s="19"/>
      <c r="B1180" s="19"/>
      <c r="C1180" s="19"/>
      <c r="D1180" s="19"/>
      <c r="E1180" s="19"/>
      <c r="F1180" s="19"/>
      <c r="G1180" s="19"/>
      <c r="H1180" s="19"/>
      <c r="I1180" s="19"/>
      <c r="J1180" s="19"/>
      <c r="K1180" s="19"/>
      <c r="L1180" s="19"/>
      <c r="M1180" s="19"/>
      <c r="N1180" s="19"/>
      <c r="O1180" s="19"/>
      <c r="P1180" s="19"/>
      <c r="Q1180" s="19"/>
      <c r="R1180" s="19"/>
      <c r="S1180" s="19"/>
      <c r="T1180" s="19"/>
      <c r="U1180" s="19"/>
      <c r="V1180" s="19"/>
      <c r="W1180" s="19"/>
      <c r="X1180" s="19"/>
      <c r="Y1180" s="19"/>
      <c r="Z1180" s="19"/>
    </row>
    <row r="1181" spans="1:26" ht="15" thickBot="1" x14ac:dyDescent="0.35">
      <c r="A1181" s="19"/>
      <c r="B1181" s="19"/>
      <c r="C1181" s="19"/>
      <c r="D1181" s="19"/>
      <c r="E1181" s="19"/>
      <c r="F1181" s="19"/>
      <c r="G1181" s="19"/>
      <c r="H1181" s="19"/>
      <c r="I1181" s="19"/>
      <c r="J1181" s="19"/>
      <c r="K1181" s="19"/>
      <c r="L1181" s="19"/>
      <c r="M1181" s="19"/>
      <c r="N1181" s="19"/>
      <c r="O1181" s="19"/>
      <c r="P1181" s="19"/>
      <c r="Q1181" s="19"/>
      <c r="R1181" s="19"/>
      <c r="S1181" s="19"/>
      <c r="T1181" s="19"/>
      <c r="U1181" s="19"/>
      <c r="V1181" s="19"/>
      <c r="W1181" s="19"/>
      <c r="X1181" s="19"/>
      <c r="Y1181" s="19"/>
      <c r="Z1181" s="19"/>
    </row>
    <row r="1182" spans="1:26" ht="15" thickBot="1" x14ac:dyDescent="0.35">
      <c r="A1182" s="19"/>
      <c r="B1182" s="19"/>
      <c r="C1182" s="19"/>
      <c r="D1182" s="19"/>
      <c r="E1182" s="19"/>
      <c r="F1182" s="19"/>
      <c r="G1182" s="19"/>
      <c r="H1182" s="19"/>
      <c r="I1182" s="19"/>
      <c r="J1182" s="19"/>
      <c r="K1182" s="19"/>
      <c r="L1182" s="19"/>
      <c r="M1182" s="19"/>
      <c r="N1182" s="19"/>
      <c r="O1182" s="19"/>
      <c r="P1182" s="19"/>
      <c r="Q1182" s="19"/>
      <c r="R1182" s="19"/>
      <c r="S1182" s="19"/>
      <c r="T1182" s="19"/>
      <c r="U1182" s="19"/>
      <c r="V1182" s="19"/>
      <c r="W1182" s="19"/>
      <c r="X1182" s="19"/>
      <c r="Y1182" s="19"/>
      <c r="Z1182" s="19"/>
    </row>
    <row r="1183" spans="1:26" ht="15" thickBot="1" x14ac:dyDescent="0.35">
      <c r="A1183" s="19"/>
      <c r="B1183" s="19"/>
      <c r="C1183" s="19"/>
      <c r="D1183" s="19"/>
      <c r="E1183" s="19"/>
      <c r="F1183" s="19"/>
      <c r="G1183" s="19"/>
      <c r="H1183" s="19"/>
      <c r="I1183" s="19"/>
      <c r="J1183" s="19"/>
      <c r="K1183" s="19"/>
      <c r="L1183" s="19"/>
      <c r="M1183" s="19"/>
      <c r="N1183" s="19"/>
      <c r="O1183" s="19"/>
      <c r="P1183" s="19"/>
      <c r="Q1183" s="19"/>
      <c r="R1183" s="19"/>
      <c r="S1183" s="19"/>
      <c r="T1183" s="19"/>
      <c r="U1183" s="19"/>
      <c r="V1183" s="19"/>
      <c r="W1183" s="19"/>
      <c r="X1183" s="19"/>
      <c r="Y1183" s="19"/>
      <c r="Z1183" s="19"/>
    </row>
    <row r="1184" spans="1:26" ht="15" thickBot="1" x14ac:dyDescent="0.35">
      <c r="A1184" s="19"/>
      <c r="B1184" s="19"/>
      <c r="C1184" s="19"/>
      <c r="D1184" s="19"/>
      <c r="E1184" s="19"/>
      <c r="F1184" s="19"/>
      <c r="G1184" s="19"/>
      <c r="H1184" s="19"/>
      <c r="I1184" s="19"/>
      <c r="J1184" s="19"/>
      <c r="K1184" s="19"/>
      <c r="L1184" s="19"/>
      <c r="M1184" s="19"/>
      <c r="N1184" s="19"/>
      <c r="O1184" s="19"/>
      <c r="P1184" s="19"/>
      <c r="Q1184" s="19"/>
      <c r="R1184" s="19"/>
      <c r="S1184" s="19"/>
      <c r="T1184" s="19"/>
      <c r="U1184" s="19"/>
      <c r="V1184" s="19"/>
      <c r="W1184" s="19"/>
      <c r="X1184" s="19"/>
      <c r="Y1184" s="19"/>
      <c r="Z1184" s="19"/>
    </row>
    <row r="1185" spans="1:26" ht="15" thickBot="1" x14ac:dyDescent="0.35">
      <c r="A1185" s="19"/>
      <c r="B1185" s="19"/>
      <c r="C1185" s="19"/>
      <c r="D1185" s="19"/>
      <c r="E1185" s="19"/>
      <c r="F1185" s="19"/>
      <c r="G1185" s="19"/>
      <c r="H1185" s="19"/>
      <c r="I1185" s="19"/>
      <c r="J1185" s="19"/>
      <c r="K1185" s="19"/>
      <c r="L1185" s="19"/>
      <c r="M1185" s="19"/>
      <c r="N1185" s="19"/>
      <c r="O1185" s="19"/>
      <c r="P1185" s="19"/>
      <c r="Q1185" s="19"/>
      <c r="R1185" s="19"/>
      <c r="S1185" s="19"/>
      <c r="T1185" s="19"/>
      <c r="U1185" s="19"/>
      <c r="V1185" s="19"/>
      <c r="W1185" s="19"/>
      <c r="X1185" s="19"/>
      <c r="Y1185" s="19"/>
      <c r="Z1185" s="19"/>
    </row>
    <row r="1186" spans="1:26" ht="15" thickBot="1" x14ac:dyDescent="0.35">
      <c r="A1186" s="19"/>
      <c r="B1186" s="19"/>
      <c r="C1186" s="19"/>
      <c r="D1186" s="19"/>
      <c r="E1186" s="19"/>
      <c r="F1186" s="19"/>
      <c r="G1186" s="19"/>
      <c r="H1186" s="19"/>
      <c r="I1186" s="19"/>
      <c r="J1186" s="19"/>
      <c r="K1186" s="19"/>
      <c r="L1186" s="19"/>
      <c r="M1186" s="19"/>
      <c r="N1186" s="19"/>
      <c r="O1186" s="19"/>
      <c r="P1186" s="19"/>
      <c r="Q1186" s="19"/>
      <c r="R1186" s="19"/>
      <c r="S1186" s="19"/>
      <c r="T1186" s="19"/>
      <c r="U1186" s="19"/>
      <c r="V1186" s="19"/>
      <c r="W1186" s="19"/>
      <c r="X1186" s="19"/>
      <c r="Y1186" s="19"/>
      <c r="Z1186" s="19"/>
    </row>
    <row r="1187" spans="1:26" ht="15" thickBot="1" x14ac:dyDescent="0.35">
      <c r="A1187" s="19"/>
      <c r="B1187" s="19"/>
      <c r="C1187" s="19"/>
      <c r="D1187" s="19"/>
      <c r="E1187" s="19"/>
      <c r="F1187" s="19"/>
      <c r="G1187" s="19"/>
      <c r="H1187" s="19"/>
      <c r="I1187" s="19"/>
      <c r="J1187" s="19"/>
      <c r="K1187" s="19"/>
      <c r="L1187" s="19"/>
      <c r="M1187" s="19"/>
      <c r="N1187" s="19"/>
      <c r="O1187" s="19"/>
      <c r="P1187" s="19"/>
      <c r="Q1187" s="19"/>
      <c r="R1187" s="19"/>
      <c r="S1187" s="19"/>
      <c r="T1187" s="19"/>
      <c r="U1187" s="19"/>
      <c r="V1187" s="19"/>
      <c r="W1187" s="19"/>
      <c r="X1187" s="19"/>
      <c r="Y1187" s="19"/>
      <c r="Z1187" s="19"/>
    </row>
    <row r="1188" spans="1:26" ht="15" thickBot="1" x14ac:dyDescent="0.35">
      <c r="A1188" s="19"/>
      <c r="B1188" s="19"/>
      <c r="C1188" s="19"/>
      <c r="D1188" s="19"/>
      <c r="E1188" s="19"/>
      <c r="F1188" s="19"/>
      <c r="G1188" s="19"/>
      <c r="H1188" s="19"/>
      <c r="I1188" s="19"/>
      <c r="J1188" s="19"/>
      <c r="K1188" s="19"/>
      <c r="L1188" s="19"/>
      <c r="M1188" s="19"/>
      <c r="N1188" s="19"/>
      <c r="O1188" s="19"/>
      <c r="P1188" s="19"/>
      <c r="Q1188" s="19"/>
      <c r="R1188" s="19"/>
      <c r="S1188" s="19"/>
      <c r="T1188" s="19"/>
      <c r="U1188" s="19"/>
      <c r="V1188" s="19"/>
      <c r="W1188" s="19"/>
      <c r="X1188" s="19"/>
      <c r="Y1188" s="19"/>
      <c r="Z1188" s="19"/>
    </row>
    <row r="1189" spans="1:26" ht="15" thickBot="1" x14ac:dyDescent="0.35">
      <c r="A1189" s="19"/>
      <c r="B1189" s="19"/>
      <c r="C1189" s="19"/>
      <c r="D1189" s="19"/>
      <c r="E1189" s="19"/>
      <c r="F1189" s="19"/>
      <c r="G1189" s="19"/>
      <c r="H1189" s="19"/>
      <c r="I1189" s="19"/>
      <c r="J1189" s="19"/>
      <c r="K1189" s="19"/>
      <c r="L1189" s="19"/>
      <c r="M1189" s="19"/>
      <c r="N1189" s="19"/>
      <c r="O1189" s="19"/>
      <c r="P1189" s="19"/>
      <c r="Q1189" s="19"/>
      <c r="R1189" s="19"/>
      <c r="S1189" s="19"/>
      <c r="T1189" s="19"/>
      <c r="U1189" s="19"/>
      <c r="V1189" s="19"/>
      <c r="W1189" s="19"/>
      <c r="X1189" s="19"/>
      <c r="Y1189" s="19"/>
      <c r="Z1189" s="19"/>
    </row>
    <row r="1190" spans="1:26" ht="15" thickBot="1" x14ac:dyDescent="0.35">
      <c r="A1190" s="19"/>
      <c r="B1190" s="19"/>
      <c r="C1190" s="19"/>
      <c r="D1190" s="19"/>
      <c r="E1190" s="19"/>
      <c r="F1190" s="19"/>
      <c r="G1190" s="19"/>
      <c r="H1190" s="19"/>
      <c r="I1190" s="19"/>
      <c r="J1190" s="19"/>
      <c r="K1190" s="19"/>
      <c r="L1190" s="19"/>
      <c r="M1190" s="19"/>
      <c r="N1190" s="19"/>
      <c r="O1190" s="19"/>
      <c r="P1190" s="19"/>
      <c r="Q1190" s="19"/>
      <c r="R1190" s="19"/>
      <c r="S1190" s="19"/>
      <c r="T1190" s="19"/>
      <c r="U1190" s="19"/>
      <c r="V1190" s="19"/>
      <c r="W1190" s="19"/>
      <c r="X1190" s="19"/>
      <c r="Y1190" s="19"/>
      <c r="Z1190" s="19"/>
    </row>
    <row r="1191" spans="1:26" ht="15" thickBot="1" x14ac:dyDescent="0.35">
      <c r="A1191" s="19"/>
      <c r="B1191" s="19"/>
      <c r="C1191" s="19"/>
      <c r="D1191" s="19"/>
      <c r="E1191" s="19"/>
      <c r="F1191" s="19"/>
      <c r="G1191" s="19"/>
      <c r="H1191" s="19"/>
      <c r="I1191" s="19"/>
      <c r="J1191" s="19"/>
      <c r="K1191" s="19"/>
      <c r="L1191" s="19"/>
      <c r="M1191" s="19"/>
      <c r="N1191" s="19"/>
      <c r="O1191" s="19"/>
      <c r="P1191" s="19"/>
      <c r="Q1191" s="19"/>
      <c r="R1191" s="19"/>
      <c r="S1191" s="19"/>
      <c r="T1191" s="19"/>
      <c r="U1191" s="19"/>
      <c r="V1191" s="19"/>
      <c r="W1191" s="19"/>
      <c r="X1191" s="19"/>
      <c r="Y1191" s="19"/>
      <c r="Z1191" s="19"/>
    </row>
    <row r="1192" spans="1:26" ht="15" thickBot="1" x14ac:dyDescent="0.35">
      <c r="A1192" s="19"/>
      <c r="B1192" s="19"/>
      <c r="C1192" s="19"/>
      <c r="D1192" s="19"/>
      <c r="E1192" s="19"/>
      <c r="F1192" s="19"/>
      <c r="G1192" s="19"/>
      <c r="H1192" s="19"/>
      <c r="I1192" s="19"/>
      <c r="J1192" s="19"/>
      <c r="K1192" s="19"/>
      <c r="L1192" s="19"/>
      <c r="M1192" s="19"/>
      <c r="N1192" s="19"/>
      <c r="O1192" s="19"/>
      <c r="P1192" s="19"/>
      <c r="Q1192" s="19"/>
      <c r="R1192" s="19"/>
      <c r="S1192" s="19"/>
      <c r="T1192" s="19"/>
      <c r="U1192" s="19"/>
      <c r="V1192" s="19"/>
      <c r="W1192" s="19"/>
      <c r="X1192" s="19"/>
      <c r="Y1192" s="19"/>
      <c r="Z1192" s="19"/>
    </row>
    <row r="1193" spans="1:26" ht="15" thickBot="1" x14ac:dyDescent="0.35">
      <c r="A1193" s="19"/>
      <c r="B1193" s="19"/>
      <c r="C1193" s="19"/>
      <c r="D1193" s="19"/>
      <c r="E1193" s="19"/>
      <c r="F1193" s="19"/>
      <c r="G1193" s="19"/>
      <c r="H1193" s="19"/>
      <c r="I1193" s="19"/>
      <c r="J1193" s="19"/>
      <c r="K1193" s="19"/>
      <c r="L1193" s="19"/>
      <c r="M1193" s="19"/>
      <c r="N1193" s="19"/>
      <c r="O1193" s="19"/>
      <c r="P1193" s="19"/>
      <c r="Q1193" s="19"/>
      <c r="R1193" s="19"/>
      <c r="S1193" s="19"/>
      <c r="T1193" s="19"/>
      <c r="U1193" s="19"/>
      <c r="V1193" s="19"/>
      <c r="W1193" s="19"/>
      <c r="X1193" s="19"/>
      <c r="Y1193" s="19"/>
      <c r="Z1193" s="19"/>
    </row>
    <row r="1194" spans="1:26" ht="15" thickBot="1" x14ac:dyDescent="0.35">
      <c r="A1194" s="19"/>
      <c r="B1194" s="19"/>
      <c r="C1194" s="19"/>
      <c r="D1194" s="19"/>
      <c r="E1194" s="19"/>
      <c r="F1194" s="19"/>
      <c r="G1194" s="19"/>
      <c r="H1194" s="19"/>
      <c r="I1194" s="19"/>
      <c r="J1194" s="19"/>
      <c r="K1194" s="19"/>
      <c r="L1194" s="19"/>
      <c r="M1194" s="19"/>
      <c r="N1194" s="19"/>
      <c r="O1194" s="19"/>
      <c r="P1194" s="19"/>
      <c r="Q1194" s="19"/>
      <c r="R1194" s="19"/>
      <c r="S1194" s="19"/>
      <c r="T1194" s="19"/>
      <c r="U1194" s="19"/>
      <c r="V1194" s="19"/>
      <c r="W1194" s="19"/>
      <c r="X1194" s="19"/>
      <c r="Y1194" s="19"/>
      <c r="Z1194" s="19"/>
    </row>
    <row r="1195" spans="1:26" ht="15" thickBot="1" x14ac:dyDescent="0.35">
      <c r="A1195" s="19"/>
      <c r="B1195" s="19"/>
      <c r="C1195" s="19"/>
      <c r="D1195" s="19"/>
      <c r="E1195" s="19"/>
      <c r="F1195" s="19"/>
      <c r="G1195" s="19"/>
      <c r="H1195" s="19"/>
      <c r="I1195" s="19"/>
      <c r="J1195" s="19"/>
      <c r="K1195" s="19"/>
      <c r="L1195" s="19"/>
      <c r="M1195" s="19"/>
      <c r="N1195" s="19"/>
      <c r="O1195" s="19"/>
      <c r="P1195" s="19"/>
      <c r="Q1195" s="19"/>
      <c r="R1195" s="19"/>
      <c r="S1195" s="19"/>
      <c r="T1195" s="19"/>
      <c r="U1195" s="19"/>
      <c r="V1195" s="19"/>
      <c r="W1195" s="19"/>
      <c r="X1195" s="19"/>
      <c r="Y1195" s="19"/>
      <c r="Z1195" s="19"/>
    </row>
    <row r="1196" spans="1:26" ht="15" thickBot="1" x14ac:dyDescent="0.35">
      <c r="A1196" s="19"/>
      <c r="B1196" s="19"/>
      <c r="C1196" s="19"/>
      <c r="D1196" s="19"/>
      <c r="E1196" s="19"/>
      <c r="F1196" s="19"/>
      <c r="G1196" s="19"/>
      <c r="H1196" s="19"/>
      <c r="I1196" s="19"/>
      <c r="J1196" s="19"/>
      <c r="K1196" s="19"/>
      <c r="L1196" s="19"/>
      <c r="M1196" s="19"/>
      <c r="N1196" s="19"/>
      <c r="O1196" s="19"/>
      <c r="P1196" s="19"/>
      <c r="Q1196" s="19"/>
      <c r="R1196" s="19"/>
      <c r="S1196" s="19"/>
      <c r="T1196" s="19"/>
      <c r="U1196" s="19"/>
      <c r="V1196" s="19"/>
      <c r="W1196" s="19"/>
      <c r="X1196" s="19"/>
      <c r="Y1196" s="19"/>
      <c r="Z1196" s="19"/>
    </row>
    <row r="1197" spans="1:26" ht="15" thickBot="1" x14ac:dyDescent="0.35">
      <c r="A1197" s="19"/>
      <c r="B1197" s="19"/>
      <c r="C1197" s="19"/>
      <c r="D1197" s="19"/>
      <c r="E1197" s="19"/>
      <c r="F1197" s="19"/>
      <c r="G1197" s="19"/>
      <c r="H1197" s="19"/>
      <c r="I1197" s="19"/>
      <c r="J1197" s="19"/>
      <c r="K1197" s="19"/>
      <c r="L1197" s="19"/>
      <c r="M1197" s="19"/>
      <c r="N1197" s="19"/>
      <c r="O1197" s="19"/>
      <c r="P1197" s="19"/>
      <c r="Q1197" s="19"/>
      <c r="R1197" s="19"/>
      <c r="S1197" s="19"/>
      <c r="T1197" s="19"/>
      <c r="U1197" s="19"/>
      <c r="V1197" s="19"/>
      <c r="W1197" s="19"/>
      <c r="X1197" s="19"/>
      <c r="Y1197" s="19"/>
      <c r="Z1197" s="19"/>
    </row>
    <row r="1198" spans="1:26" ht="15" thickBot="1" x14ac:dyDescent="0.35">
      <c r="A1198" s="19"/>
      <c r="B1198" s="19"/>
      <c r="C1198" s="19"/>
      <c r="D1198" s="19"/>
      <c r="E1198" s="19"/>
      <c r="F1198" s="19"/>
      <c r="G1198" s="19"/>
      <c r="H1198" s="19"/>
      <c r="I1198" s="19"/>
      <c r="J1198" s="19"/>
      <c r="K1198" s="19"/>
      <c r="L1198" s="19"/>
      <c r="M1198" s="19"/>
      <c r="N1198" s="19"/>
      <c r="O1198" s="19"/>
      <c r="P1198" s="19"/>
      <c r="Q1198" s="19"/>
      <c r="R1198" s="19"/>
      <c r="S1198" s="19"/>
      <c r="T1198" s="19"/>
      <c r="U1198" s="19"/>
      <c r="V1198" s="19"/>
      <c r="W1198" s="19"/>
      <c r="X1198" s="19"/>
      <c r="Y1198" s="19"/>
      <c r="Z1198" s="19"/>
    </row>
    <row r="1199" spans="1:26" ht="15" thickBot="1" x14ac:dyDescent="0.35">
      <c r="A1199" s="19"/>
      <c r="B1199" s="19"/>
      <c r="C1199" s="19"/>
      <c r="D1199" s="19"/>
      <c r="E1199" s="19"/>
      <c r="F1199" s="19"/>
      <c r="G1199" s="19"/>
      <c r="H1199" s="19"/>
      <c r="I1199" s="19"/>
      <c r="J1199" s="19"/>
      <c r="K1199" s="19"/>
      <c r="L1199" s="19"/>
      <c r="M1199" s="19"/>
      <c r="N1199" s="19"/>
      <c r="O1199" s="19"/>
      <c r="P1199" s="19"/>
      <c r="Q1199" s="19"/>
      <c r="R1199" s="19"/>
      <c r="S1199" s="19"/>
      <c r="T1199" s="19"/>
      <c r="U1199" s="19"/>
      <c r="V1199" s="19"/>
      <c r="W1199" s="19"/>
      <c r="X1199" s="19"/>
      <c r="Y1199" s="19"/>
      <c r="Z1199" s="19"/>
    </row>
    <row r="1200" spans="1:26" ht="15" thickBot="1" x14ac:dyDescent="0.35">
      <c r="A1200" s="19"/>
      <c r="B1200" s="19"/>
      <c r="C1200" s="19"/>
      <c r="D1200" s="19"/>
      <c r="E1200" s="19"/>
      <c r="F1200" s="19"/>
      <c r="G1200" s="19"/>
      <c r="H1200" s="19"/>
      <c r="I1200" s="19"/>
      <c r="J1200" s="19"/>
      <c r="K1200" s="19"/>
      <c r="L1200" s="19"/>
      <c r="M1200" s="19"/>
      <c r="N1200" s="19"/>
      <c r="O1200" s="19"/>
      <c r="P1200" s="19"/>
      <c r="Q1200" s="19"/>
      <c r="R1200" s="19"/>
      <c r="S1200" s="19"/>
      <c r="T1200" s="19"/>
      <c r="U1200" s="19"/>
      <c r="V1200" s="19"/>
      <c r="W1200" s="19"/>
      <c r="X1200" s="19"/>
      <c r="Y1200" s="19"/>
      <c r="Z1200" s="19"/>
    </row>
    <row r="1201" spans="1:26" ht="15" thickBot="1" x14ac:dyDescent="0.35">
      <c r="A1201" s="19"/>
      <c r="B1201" s="19"/>
      <c r="C1201" s="19"/>
      <c r="D1201" s="19"/>
      <c r="E1201" s="19"/>
      <c r="F1201" s="19"/>
      <c r="G1201" s="19"/>
      <c r="H1201" s="19"/>
      <c r="I1201" s="19"/>
      <c r="J1201" s="19"/>
      <c r="K1201" s="19"/>
      <c r="L1201" s="19"/>
      <c r="M1201" s="19"/>
      <c r="N1201" s="19"/>
      <c r="O1201" s="19"/>
      <c r="P1201" s="19"/>
      <c r="Q1201" s="19"/>
      <c r="R1201" s="19"/>
      <c r="S1201" s="19"/>
      <c r="T1201" s="19"/>
      <c r="U1201" s="19"/>
      <c r="V1201" s="19"/>
      <c r="W1201" s="19"/>
      <c r="X1201" s="19"/>
      <c r="Y1201" s="19"/>
      <c r="Z1201" s="19"/>
    </row>
    <row r="1202" spans="1:26" ht="15" thickBot="1" x14ac:dyDescent="0.35">
      <c r="A1202" s="19"/>
      <c r="B1202" s="19"/>
      <c r="C1202" s="19"/>
      <c r="D1202" s="19"/>
      <c r="E1202" s="19"/>
      <c r="F1202" s="19"/>
      <c r="G1202" s="19"/>
      <c r="H1202" s="19"/>
      <c r="I1202" s="19"/>
      <c r="J1202" s="19"/>
      <c r="K1202" s="19"/>
      <c r="L1202" s="19"/>
      <c r="M1202" s="19"/>
      <c r="N1202" s="19"/>
      <c r="O1202" s="19"/>
      <c r="P1202" s="19"/>
      <c r="Q1202" s="19"/>
      <c r="R1202" s="19"/>
      <c r="S1202" s="19"/>
      <c r="T1202" s="19"/>
      <c r="U1202" s="19"/>
      <c r="V1202" s="19"/>
      <c r="W1202" s="19"/>
      <c r="X1202" s="19"/>
      <c r="Y1202" s="19"/>
      <c r="Z1202" s="19"/>
    </row>
    <row r="1203" spans="1:26" ht="15" thickBot="1" x14ac:dyDescent="0.35">
      <c r="A1203" s="19"/>
      <c r="B1203" s="19"/>
      <c r="C1203" s="19"/>
      <c r="D1203" s="19"/>
      <c r="E1203" s="19"/>
      <c r="F1203" s="19"/>
      <c r="G1203" s="19"/>
      <c r="H1203" s="19"/>
      <c r="I1203" s="19"/>
      <c r="J1203" s="19"/>
      <c r="K1203" s="19"/>
      <c r="L1203" s="19"/>
      <c r="M1203" s="19"/>
      <c r="N1203" s="19"/>
      <c r="O1203" s="19"/>
      <c r="P1203" s="19"/>
      <c r="Q1203" s="19"/>
      <c r="R1203" s="19"/>
      <c r="S1203" s="19"/>
      <c r="T1203" s="19"/>
      <c r="U1203" s="19"/>
      <c r="V1203" s="19"/>
      <c r="W1203" s="19"/>
      <c r="X1203" s="19"/>
      <c r="Y1203" s="19"/>
      <c r="Z1203" s="19"/>
    </row>
    <row r="1204" spans="1:26" ht="15" thickBot="1" x14ac:dyDescent="0.35">
      <c r="A1204" s="19"/>
      <c r="B1204" s="19"/>
      <c r="C1204" s="19"/>
      <c r="D1204" s="19"/>
      <c r="E1204" s="19"/>
      <c r="F1204" s="19"/>
      <c r="G1204" s="19"/>
      <c r="H1204" s="19"/>
      <c r="I1204" s="19"/>
      <c r="J1204" s="19"/>
      <c r="K1204" s="19"/>
      <c r="L1204" s="19"/>
      <c r="M1204" s="19"/>
      <c r="N1204" s="19"/>
      <c r="O1204" s="19"/>
      <c r="P1204" s="19"/>
      <c r="Q1204" s="19"/>
      <c r="R1204" s="19"/>
      <c r="S1204" s="19"/>
      <c r="T1204" s="19"/>
      <c r="U1204" s="19"/>
      <c r="V1204" s="19"/>
      <c r="W1204" s="19"/>
      <c r="X1204" s="19"/>
      <c r="Y1204" s="19"/>
      <c r="Z1204" s="19"/>
    </row>
    <row r="1205" spans="1:26" ht="15" thickBot="1" x14ac:dyDescent="0.35">
      <c r="A1205" s="19"/>
      <c r="B1205" s="19"/>
      <c r="C1205" s="19"/>
      <c r="D1205" s="19"/>
      <c r="E1205" s="19"/>
      <c r="F1205" s="19"/>
      <c r="G1205" s="19"/>
      <c r="H1205" s="19"/>
      <c r="I1205" s="19"/>
      <c r="J1205" s="19"/>
      <c r="K1205" s="19"/>
      <c r="L1205" s="19"/>
      <c r="M1205" s="19"/>
      <c r="N1205" s="19"/>
      <c r="O1205" s="19"/>
      <c r="P1205" s="19"/>
      <c r="Q1205" s="19"/>
      <c r="R1205" s="19"/>
      <c r="S1205" s="19"/>
      <c r="T1205" s="19"/>
      <c r="U1205" s="19"/>
      <c r="V1205" s="19"/>
      <c r="W1205" s="19"/>
      <c r="X1205" s="19"/>
      <c r="Y1205" s="19"/>
      <c r="Z1205" s="19"/>
    </row>
    <row r="1206" spans="1:26" ht="15" thickBot="1" x14ac:dyDescent="0.35">
      <c r="A1206" s="19"/>
      <c r="B1206" s="19"/>
      <c r="C1206" s="19"/>
      <c r="D1206" s="19"/>
      <c r="E1206" s="19"/>
      <c r="F1206" s="19"/>
      <c r="G1206" s="19"/>
      <c r="H1206" s="19"/>
      <c r="I1206" s="19"/>
      <c r="J1206" s="19"/>
      <c r="K1206" s="19"/>
      <c r="L1206" s="19"/>
      <c r="M1206" s="19"/>
      <c r="N1206" s="19"/>
      <c r="O1206" s="19"/>
      <c r="P1206" s="19"/>
      <c r="Q1206" s="19"/>
      <c r="R1206" s="19"/>
      <c r="S1206" s="19"/>
      <c r="T1206" s="19"/>
      <c r="U1206" s="19"/>
      <c r="V1206" s="19"/>
      <c r="W1206" s="19"/>
      <c r="X1206" s="19"/>
      <c r="Y1206" s="19"/>
      <c r="Z1206" s="19"/>
    </row>
    <row r="1207" spans="1:26" ht="15" thickBot="1" x14ac:dyDescent="0.35">
      <c r="A1207" s="19"/>
      <c r="B1207" s="19"/>
      <c r="C1207" s="19"/>
      <c r="D1207" s="19"/>
      <c r="E1207" s="19"/>
      <c r="F1207" s="19"/>
      <c r="G1207" s="19"/>
      <c r="H1207" s="19"/>
      <c r="I1207" s="19"/>
      <c r="J1207" s="19"/>
      <c r="K1207" s="19"/>
      <c r="L1207" s="19"/>
      <c r="M1207" s="19"/>
      <c r="N1207" s="19"/>
      <c r="O1207" s="19"/>
      <c r="P1207" s="19"/>
      <c r="Q1207" s="19"/>
      <c r="R1207" s="19"/>
      <c r="S1207" s="19"/>
      <c r="T1207" s="19"/>
      <c r="U1207" s="19"/>
      <c r="V1207" s="19"/>
      <c r="W1207" s="19"/>
      <c r="X1207" s="19"/>
      <c r="Y1207" s="19"/>
      <c r="Z1207" s="19"/>
    </row>
    <row r="1208" spans="1:26" ht="15" thickBot="1" x14ac:dyDescent="0.35">
      <c r="A1208" s="19"/>
      <c r="B1208" s="19"/>
      <c r="C1208" s="19"/>
      <c r="D1208" s="19"/>
      <c r="E1208" s="19"/>
      <c r="F1208" s="19"/>
      <c r="G1208" s="19"/>
      <c r="H1208" s="19"/>
      <c r="I1208" s="19"/>
      <c r="J1208" s="19"/>
      <c r="K1208" s="19"/>
      <c r="L1208" s="19"/>
      <c r="M1208" s="19"/>
      <c r="N1208" s="19"/>
      <c r="O1208" s="19"/>
      <c r="P1208" s="19"/>
      <c r="Q1208" s="19"/>
      <c r="R1208" s="19"/>
      <c r="S1208" s="19"/>
      <c r="T1208" s="19"/>
      <c r="U1208" s="19"/>
      <c r="V1208" s="19"/>
      <c r="W1208" s="19"/>
      <c r="X1208" s="19"/>
      <c r="Y1208" s="19"/>
      <c r="Z1208" s="19"/>
    </row>
    <row r="1209" spans="1:26" ht="15" thickBot="1" x14ac:dyDescent="0.35">
      <c r="A1209" s="19"/>
      <c r="B1209" s="19"/>
      <c r="C1209" s="19"/>
      <c r="D1209" s="19"/>
      <c r="E1209" s="19"/>
      <c r="F1209" s="19"/>
      <c r="G1209" s="19"/>
      <c r="H1209" s="19"/>
      <c r="I1209" s="19"/>
      <c r="J1209" s="19"/>
      <c r="K1209" s="19"/>
      <c r="L1209" s="19"/>
      <c r="M1209" s="19"/>
      <c r="N1209" s="19"/>
      <c r="O1209" s="19"/>
      <c r="P1209" s="19"/>
      <c r="Q1209" s="19"/>
      <c r="R1209" s="19"/>
      <c r="S1209" s="19"/>
      <c r="T1209" s="19"/>
      <c r="U1209" s="19"/>
      <c r="V1209" s="19"/>
      <c r="W1209" s="19"/>
      <c r="X1209" s="19"/>
      <c r="Y1209" s="19"/>
      <c r="Z1209" s="19"/>
    </row>
    <row r="1210" spans="1:26" ht="15" thickBot="1" x14ac:dyDescent="0.35">
      <c r="A1210" s="19"/>
      <c r="B1210" s="19"/>
      <c r="C1210" s="19"/>
      <c r="D1210" s="19"/>
      <c r="E1210" s="19"/>
      <c r="F1210" s="19"/>
      <c r="G1210" s="19"/>
      <c r="H1210" s="19"/>
      <c r="I1210" s="19"/>
      <c r="J1210" s="19"/>
      <c r="K1210" s="19"/>
      <c r="L1210" s="19"/>
      <c r="M1210" s="19"/>
      <c r="N1210" s="19"/>
      <c r="O1210" s="19"/>
      <c r="P1210" s="19"/>
      <c r="Q1210" s="19"/>
      <c r="R1210" s="19"/>
      <c r="S1210" s="19"/>
      <c r="T1210" s="19"/>
      <c r="U1210" s="19"/>
      <c r="V1210" s="19"/>
      <c r="W1210" s="19"/>
      <c r="X1210" s="19"/>
      <c r="Y1210" s="19"/>
      <c r="Z1210" s="19"/>
    </row>
    <row r="1211" spans="1:26" ht="15" thickBot="1" x14ac:dyDescent="0.35">
      <c r="A1211" s="19"/>
      <c r="B1211" s="19"/>
      <c r="C1211" s="19"/>
      <c r="D1211" s="19"/>
      <c r="E1211" s="19"/>
      <c r="F1211" s="19"/>
      <c r="G1211" s="19"/>
      <c r="H1211" s="19"/>
      <c r="I1211" s="19"/>
      <c r="J1211" s="19"/>
      <c r="K1211" s="19"/>
      <c r="L1211" s="19"/>
      <c r="M1211" s="19"/>
      <c r="N1211" s="19"/>
      <c r="O1211" s="19"/>
      <c r="P1211" s="19"/>
      <c r="Q1211" s="19"/>
      <c r="R1211" s="19"/>
      <c r="S1211" s="19"/>
      <c r="T1211" s="19"/>
      <c r="U1211" s="19"/>
      <c r="V1211" s="19"/>
      <c r="W1211" s="19"/>
      <c r="X1211" s="19"/>
      <c r="Y1211" s="19"/>
      <c r="Z1211" s="19"/>
    </row>
    <row r="1212" spans="1:26" ht="15" thickBot="1" x14ac:dyDescent="0.35">
      <c r="A1212" s="19"/>
      <c r="B1212" s="19"/>
      <c r="C1212" s="19"/>
      <c r="D1212" s="19"/>
      <c r="E1212" s="19"/>
      <c r="F1212" s="19"/>
      <c r="G1212" s="19"/>
      <c r="H1212" s="19"/>
      <c r="I1212" s="19"/>
      <c r="J1212" s="19"/>
      <c r="K1212" s="19"/>
      <c r="L1212" s="19"/>
      <c r="M1212" s="19"/>
      <c r="N1212" s="19"/>
      <c r="O1212" s="19"/>
      <c r="P1212" s="19"/>
      <c r="Q1212" s="19"/>
      <c r="R1212" s="19"/>
      <c r="S1212" s="19"/>
      <c r="T1212" s="19"/>
      <c r="U1212" s="19"/>
      <c r="V1212" s="19"/>
      <c r="W1212" s="19"/>
      <c r="X1212" s="19"/>
      <c r="Y1212" s="19"/>
      <c r="Z1212" s="19"/>
    </row>
    <row r="1213" spans="1:26" ht="15" thickBot="1" x14ac:dyDescent="0.35">
      <c r="A1213" s="19"/>
      <c r="B1213" s="19"/>
      <c r="C1213" s="19"/>
      <c r="D1213" s="19"/>
      <c r="E1213" s="19"/>
      <c r="F1213" s="19"/>
      <c r="G1213" s="19"/>
      <c r="H1213" s="19"/>
      <c r="I1213" s="19"/>
      <c r="J1213" s="19"/>
      <c r="K1213" s="19"/>
      <c r="L1213" s="19"/>
      <c r="M1213" s="19"/>
      <c r="N1213" s="19"/>
      <c r="O1213" s="19"/>
      <c r="P1213" s="19"/>
      <c r="Q1213" s="19"/>
      <c r="R1213" s="19"/>
      <c r="S1213" s="19"/>
      <c r="T1213" s="19"/>
      <c r="U1213" s="19"/>
      <c r="V1213" s="19"/>
      <c r="W1213" s="19"/>
      <c r="X1213" s="19"/>
      <c r="Y1213" s="19"/>
      <c r="Z1213" s="19"/>
    </row>
    <row r="1214" spans="1:26" ht="15" thickBot="1" x14ac:dyDescent="0.35">
      <c r="A1214" s="19"/>
      <c r="B1214" s="19"/>
      <c r="C1214" s="19"/>
      <c r="D1214" s="19"/>
      <c r="E1214" s="19"/>
      <c r="F1214" s="19"/>
      <c r="G1214" s="19"/>
      <c r="H1214" s="19"/>
      <c r="I1214" s="19"/>
      <c r="J1214" s="19"/>
      <c r="K1214" s="19"/>
      <c r="L1214" s="19"/>
      <c r="M1214" s="19"/>
      <c r="N1214" s="19"/>
      <c r="O1214" s="19"/>
      <c r="P1214" s="19"/>
      <c r="Q1214" s="19"/>
      <c r="R1214" s="19"/>
      <c r="S1214" s="19"/>
      <c r="T1214" s="19"/>
      <c r="U1214" s="19"/>
      <c r="V1214" s="19"/>
      <c r="W1214" s="19"/>
      <c r="X1214" s="19"/>
      <c r="Y1214" s="19"/>
      <c r="Z1214" s="19"/>
    </row>
    <row r="1215" spans="1:26" ht="15" thickBot="1" x14ac:dyDescent="0.35">
      <c r="A1215" s="19"/>
      <c r="B1215" s="19"/>
      <c r="C1215" s="19"/>
      <c r="D1215" s="19"/>
      <c r="E1215" s="19"/>
      <c r="F1215" s="19"/>
      <c r="G1215" s="19"/>
      <c r="H1215" s="19"/>
      <c r="I1215" s="19"/>
      <c r="J1215" s="19"/>
      <c r="K1215" s="19"/>
      <c r="L1215" s="19"/>
      <c r="M1215" s="19"/>
      <c r="N1215" s="19"/>
      <c r="O1215" s="19"/>
      <c r="P1215" s="19"/>
      <c r="Q1215" s="19"/>
      <c r="R1215" s="19"/>
      <c r="S1215" s="19"/>
      <c r="T1215" s="19"/>
      <c r="U1215" s="19"/>
      <c r="V1215" s="19"/>
      <c r="W1215" s="19"/>
      <c r="X1215" s="19"/>
      <c r="Y1215" s="19"/>
      <c r="Z1215" s="19"/>
    </row>
    <row r="1216" spans="1:26" ht="15" thickBot="1" x14ac:dyDescent="0.35">
      <c r="A1216" s="19"/>
      <c r="B1216" s="19"/>
      <c r="C1216" s="19"/>
      <c r="D1216" s="19"/>
      <c r="E1216" s="19"/>
      <c r="F1216" s="19"/>
      <c r="G1216" s="19"/>
      <c r="H1216" s="19"/>
      <c r="I1216" s="19"/>
      <c r="J1216" s="19"/>
      <c r="K1216" s="19"/>
      <c r="L1216" s="19"/>
      <c r="M1216" s="19"/>
      <c r="N1216" s="19"/>
      <c r="O1216" s="19"/>
      <c r="P1216" s="19"/>
      <c r="Q1216" s="19"/>
      <c r="R1216" s="19"/>
      <c r="S1216" s="19"/>
      <c r="T1216" s="19"/>
      <c r="U1216" s="19"/>
      <c r="V1216" s="19"/>
      <c r="W1216" s="19"/>
      <c r="X1216" s="19"/>
      <c r="Y1216" s="19"/>
      <c r="Z1216" s="19"/>
    </row>
    <row r="1217" spans="1:26" ht="15" thickBot="1" x14ac:dyDescent="0.35">
      <c r="A1217" s="19"/>
      <c r="B1217" s="19"/>
      <c r="C1217" s="19"/>
      <c r="D1217" s="19"/>
      <c r="E1217" s="19"/>
      <c r="F1217" s="19"/>
      <c r="G1217" s="19"/>
      <c r="H1217" s="19"/>
      <c r="I1217" s="19"/>
      <c r="J1217" s="19"/>
      <c r="K1217" s="19"/>
      <c r="L1217" s="19"/>
      <c r="M1217" s="19"/>
      <c r="N1217" s="19"/>
      <c r="O1217" s="19"/>
      <c r="P1217" s="19"/>
      <c r="Q1217" s="19"/>
      <c r="R1217" s="19"/>
      <c r="S1217" s="19"/>
      <c r="T1217" s="19"/>
      <c r="U1217" s="19"/>
      <c r="V1217" s="19"/>
      <c r="W1217" s="19"/>
      <c r="X1217" s="19"/>
      <c r="Y1217" s="19"/>
      <c r="Z1217" s="19"/>
    </row>
    <row r="1218" spans="1:26" ht="15" thickBot="1" x14ac:dyDescent="0.35">
      <c r="A1218" s="19"/>
      <c r="B1218" s="19"/>
      <c r="C1218" s="19"/>
      <c r="D1218" s="19"/>
      <c r="E1218" s="19"/>
      <c r="F1218" s="19"/>
      <c r="G1218" s="19"/>
      <c r="H1218" s="19"/>
      <c r="I1218" s="19"/>
      <c r="J1218" s="19"/>
      <c r="K1218" s="19"/>
      <c r="L1218" s="19"/>
      <c r="M1218" s="19"/>
      <c r="N1218" s="19"/>
      <c r="O1218" s="19"/>
      <c r="P1218" s="19"/>
      <c r="Q1218" s="19"/>
      <c r="R1218" s="19"/>
      <c r="S1218" s="19"/>
      <c r="T1218" s="19"/>
      <c r="U1218" s="19"/>
      <c r="V1218" s="19"/>
      <c r="W1218" s="19"/>
      <c r="X1218" s="19"/>
      <c r="Y1218" s="19"/>
      <c r="Z1218" s="19"/>
    </row>
    <row r="1219" spans="1:26" ht="15" thickBot="1" x14ac:dyDescent="0.35">
      <c r="A1219" s="19"/>
      <c r="B1219" s="19"/>
      <c r="C1219" s="19"/>
      <c r="D1219" s="19"/>
      <c r="E1219" s="19"/>
      <c r="F1219" s="19"/>
      <c r="G1219" s="19"/>
      <c r="H1219" s="19"/>
      <c r="I1219" s="19"/>
      <c r="J1219" s="19"/>
      <c r="K1219" s="19"/>
      <c r="L1219" s="19"/>
      <c r="M1219" s="19"/>
      <c r="N1219" s="19"/>
      <c r="O1219" s="19"/>
      <c r="P1219" s="19"/>
      <c r="Q1219" s="19"/>
      <c r="R1219" s="19"/>
      <c r="S1219" s="19"/>
      <c r="T1219" s="19"/>
      <c r="U1219" s="19"/>
      <c r="V1219" s="19"/>
      <c r="W1219" s="19"/>
      <c r="X1219" s="19"/>
      <c r="Y1219" s="19"/>
      <c r="Z1219" s="19"/>
    </row>
    <row r="1220" spans="1:26" ht="15" thickBot="1" x14ac:dyDescent="0.35">
      <c r="A1220" s="19"/>
      <c r="B1220" s="19"/>
      <c r="C1220" s="19"/>
      <c r="D1220" s="19"/>
      <c r="E1220" s="19"/>
      <c r="F1220" s="19"/>
      <c r="G1220" s="19"/>
      <c r="H1220" s="19"/>
      <c r="I1220" s="19"/>
      <c r="J1220" s="19"/>
      <c r="K1220" s="19"/>
      <c r="L1220" s="19"/>
      <c r="M1220" s="19"/>
      <c r="N1220" s="19"/>
      <c r="O1220" s="19"/>
      <c r="P1220" s="19"/>
      <c r="Q1220" s="19"/>
      <c r="R1220" s="19"/>
      <c r="S1220" s="19"/>
      <c r="T1220" s="19"/>
      <c r="U1220" s="19"/>
      <c r="V1220" s="19"/>
      <c r="W1220" s="19"/>
      <c r="X1220" s="19"/>
      <c r="Y1220" s="19"/>
      <c r="Z1220" s="19"/>
    </row>
    <row r="1221" spans="1:26" ht="15" thickBot="1" x14ac:dyDescent="0.35">
      <c r="A1221" s="19"/>
      <c r="B1221" s="19"/>
      <c r="C1221" s="19"/>
      <c r="D1221" s="19"/>
      <c r="E1221" s="19"/>
      <c r="F1221" s="19"/>
      <c r="G1221" s="19"/>
      <c r="H1221" s="19"/>
      <c r="I1221" s="19"/>
      <c r="J1221" s="19"/>
      <c r="K1221" s="19"/>
      <c r="L1221" s="19"/>
      <c r="M1221" s="19"/>
      <c r="N1221" s="19"/>
      <c r="O1221" s="19"/>
      <c r="P1221" s="19"/>
      <c r="Q1221" s="19"/>
      <c r="R1221" s="19"/>
      <c r="S1221" s="19"/>
      <c r="T1221" s="19"/>
      <c r="U1221" s="19"/>
      <c r="V1221" s="19"/>
      <c r="W1221" s="19"/>
      <c r="X1221" s="19"/>
      <c r="Y1221" s="19"/>
      <c r="Z1221" s="19"/>
    </row>
    <row r="1222" spans="1:26" ht="15" thickBot="1" x14ac:dyDescent="0.35">
      <c r="A1222" s="19"/>
      <c r="B1222" s="19"/>
      <c r="C1222" s="19"/>
      <c r="D1222" s="19"/>
      <c r="E1222" s="19"/>
      <c r="F1222" s="19"/>
      <c r="G1222" s="19"/>
      <c r="H1222" s="19"/>
      <c r="I1222" s="19"/>
      <c r="J1222" s="19"/>
      <c r="K1222" s="19"/>
      <c r="L1222" s="19"/>
      <c r="M1222" s="19"/>
      <c r="N1222" s="19"/>
      <c r="O1222" s="19"/>
      <c r="P1222" s="19"/>
      <c r="Q1222" s="19"/>
      <c r="R1222" s="19"/>
      <c r="S1222" s="19"/>
      <c r="T1222" s="19"/>
      <c r="U1222" s="19"/>
      <c r="V1222" s="19"/>
      <c r="W1222" s="19"/>
      <c r="X1222" s="19"/>
      <c r="Y1222" s="19"/>
      <c r="Z1222" s="19"/>
    </row>
    <row r="1223" spans="1:26" ht="15" thickBot="1" x14ac:dyDescent="0.35">
      <c r="A1223" s="19"/>
      <c r="B1223" s="19"/>
      <c r="C1223" s="19"/>
      <c r="D1223" s="19"/>
      <c r="E1223" s="19"/>
      <c r="F1223" s="19"/>
      <c r="G1223" s="19"/>
      <c r="H1223" s="19"/>
      <c r="I1223" s="19"/>
      <c r="J1223" s="19"/>
      <c r="K1223" s="19"/>
      <c r="L1223" s="19"/>
      <c r="M1223" s="19"/>
      <c r="N1223" s="19"/>
      <c r="O1223" s="19"/>
      <c r="P1223" s="19"/>
      <c r="Q1223" s="19"/>
      <c r="R1223" s="19"/>
      <c r="S1223" s="19"/>
      <c r="T1223" s="19"/>
      <c r="U1223" s="19"/>
      <c r="V1223" s="19"/>
      <c r="W1223" s="19"/>
      <c r="X1223" s="19"/>
      <c r="Y1223" s="19"/>
      <c r="Z1223" s="19"/>
    </row>
    <row r="1224" spans="1:26" ht="15" thickBot="1" x14ac:dyDescent="0.35">
      <c r="A1224" s="19"/>
      <c r="B1224" s="19"/>
      <c r="C1224" s="19"/>
      <c r="D1224" s="19"/>
      <c r="E1224" s="19"/>
      <c r="F1224" s="19"/>
      <c r="G1224" s="19"/>
      <c r="H1224" s="19"/>
      <c r="I1224" s="19"/>
      <c r="J1224" s="19"/>
      <c r="K1224" s="19"/>
      <c r="L1224" s="19"/>
      <c r="M1224" s="19"/>
      <c r="N1224" s="19"/>
      <c r="O1224" s="19"/>
      <c r="P1224" s="19"/>
      <c r="Q1224" s="19"/>
      <c r="R1224" s="19"/>
      <c r="S1224" s="19"/>
      <c r="T1224" s="19"/>
      <c r="U1224" s="19"/>
      <c r="V1224" s="19"/>
      <c r="W1224" s="19"/>
      <c r="X1224" s="19"/>
      <c r="Y1224" s="19"/>
      <c r="Z1224" s="19"/>
    </row>
    <row r="1225" spans="1:26" ht="15" thickBot="1" x14ac:dyDescent="0.35">
      <c r="A1225" s="19"/>
      <c r="B1225" s="19"/>
      <c r="C1225" s="19"/>
      <c r="D1225" s="19"/>
      <c r="E1225" s="19"/>
      <c r="F1225" s="19"/>
      <c r="G1225" s="19"/>
      <c r="H1225" s="19"/>
      <c r="I1225" s="19"/>
      <c r="J1225" s="19"/>
      <c r="K1225" s="19"/>
      <c r="L1225" s="19"/>
      <c r="M1225" s="19"/>
      <c r="N1225" s="19"/>
      <c r="O1225" s="19"/>
      <c r="P1225" s="19"/>
      <c r="Q1225" s="19"/>
      <c r="R1225" s="19"/>
      <c r="S1225" s="19"/>
      <c r="T1225" s="19"/>
      <c r="U1225" s="19"/>
      <c r="V1225" s="19"/>
      <c r="W1225" s="19"/>
      <c r="X1225" s="19"/>
      <c r="Y1225" s="19"/>
      <c r="Z1225" s="19"/>
    </row>
    <row r="1226" spans="1:26" ht="15" thickBot="1" x14ac:dyDescent="0.35">
      <c r="A1226" s="19"/>
      <c r="B1226" s="19"/>
      <c r="C1226" s="19"/>
      <c r="D1226" s="19"/>
      <c r="E1226" s="19"/>
      <c r="F1226" s="19"/>
      <c r="G1226" s="19"/>
      <c r="H1226" s="19"/>
      <c r="I1226" s="19"/>
      <c r="J1226" s="19"/>
      <c r="K1226" s="19"/>
      <c r="L1226" s="19"/>
      <c r="M1226" s="19"/>
      <c r="N1226" s="19"/>
      <c r="O1226" s="19"/>
      <c r="P1226" s="19"/>
      <c r="Q1226" s="19"/>
      <c r="R1226" s="19"/>
      <c r="S1226" s="19"/>
      <c r="T1226" s="19"/>
      <c r="U1226" s="19"/>
      <c r="V1226" s="19"/>
      <c r="W1226" s="19"/>
      <c r="X1226" s="19"/>
      <c r="Y1226" s="19"/>
      <c r="Z1226" s="19"/>
    </row>
    <row r="1227" spans="1:26" ht="15" thickBot="1" x14ac:dyDescent="0.35">
      <c r="A1227" s="19"/>
      <c r="B1227" s="19"/>
      <c r="C1227" s="19"/>
      <c r="D1227" s="19"/>
      <c r="E1227" s="19"/>
      <c r="F1227" s="19"/>
      <c r="G1227" s="19"/>
      <c r="H1227" s="19"/>
      <c r="I1227" s="19"/>
      <c r="J1227" s="19"/>
      <c r="K1227" s="19"/>
      <c r="L1227" s="19"/>
      <c r="M1227" s="19"/>
      <c r="N1227" s="19"/>
      <c r="O1227" s="19"/>
      <c r="P1227" s="19"/>
      <c r="Q1227" s="19"/>
      <c r="R1227" s="19"/>
      <c r="S1227" s="19"/>
      <c r="T1227" s="19"/>
      <c r="U1227" s="19"/>
      <c r="V1227" s="19"/>
      <c r="W1227" s="19"/>
      <c r="X1227" s="19"/>
      <c r="Y1227" s="19"/>
      <c r="Z1227" s="19"/>
    </row>
    <row r="1228" spans="1:26" ht="15" thickBot="1" x14ac:dyDescent="0.35">
      <c r="A1228" s="19"/>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row>
    <row r="1229" spans="1:26" ht="15" thickBot="1" x14ac:dyDescent="0.35">
      <c r="A1229" s="19"/>
      <c r="B1229" s="19"/>
      <c r="C1229" s="19"/>
      <c r="D1229" s="19"/>
      <c r="E1229" s="19"/>
      <c r="F1229" s="19"/>
      <c r="G1229" s="19"/>
      <c r="H1229" s="19"/>
      <c r="I1229" s="19"/>
      <c r="J1229" s="19"/>
      <c r="K1229" s="19"/>
      <c r="L1229" s="19"/>
      <c r="M1229" s="19"/>
      <c r="N1229" s="19"/>
      <c r="O1229" s="19"/>
      <c r="P1229" s="19"/>
      <c r="Q1229" s="19"/>
      <c r="R1229" s="19"/>
      <c r="S1229" s="19"/>
      <c r="T1229" s="19"/>
      <c r="U1229" s="19"/>
      <c r="V1229" s="19"/>
      <c r="W1229" s="19"/>
      <c r="X1229" s="19"/>
      <c r="Y1229" s="19"/>
      <c r="Z1229" s="19"/>
    </row>
    <row r="1230" spans="1:26" ht="15" thickBot="1" x14ac:dyDescent="0.35">
      <c r="A1230" s="19"/>
      <c r="B1230" s="19"/>
      <c r="C1230" s="19"/>
      <c r="D1230" s="19"/>
      <c r="E1230" s="19"/>
      <c r="F1230" s="19"/>
      <c r="G1230" s="19"/>
      <c r="H1230" s="19"/>
      <c r="I1230" s="19"/>
      <c r="J1230" s="19"/>
      <c r="K1230" s="19"/>
      <c r="L1230" s="19"/>
      <c r="M1230" s="19"/>
      <c r="N1230" s="19"/>
      <c r="O1230" s="19"/>
      <c r="P1230" s="19"/>
      <c r="Q1230" s="19"/>
      <c r="R1230" s="19"/>
      <c r="S1230" s="19"/>
      <c r="T1230" s="19"/>
      <c r="U1230" s="19"/>
      <c r="V1230" s="19"/>
      <c r="W1230" s="19"/>
      <c r="X1230" s="19"/>
      <c r="Y1230" s="19"/>
      <c r="Z1230" s="19"/>
    </row>
    <row r="1231" spans="1:26" ht="15" thickBot="1" x14ac:dyDescent="0.35">
      <c r="A1231" s="19"/>
      <c r="B1231" s="19"/>
      <c r="C1231" s="19"/>
      <c r="D1231" s="19"/>
      <c r="E1231" s="19"/>
      <c r="F1231" s="19"/>
      <c r="G1231" s="19"/>
      <c r="H1231" s="19"/>
      <c r="I1231" s="19"/>
      <c r="J1231" s="19"/>
      <c r="K1231" s="19"/>
      <c r="L1231" s="19"/>
      <c r="M1231" s="19"/>
      <c r="N1231" s="19"/>
      <c r="O1231" s="19"/>
      <c r="P1231" s="19"/>
      <c r="Q1231" s="19"/>
      <c r="R1231" s="19"/>
      <c r="S1231" s="19"/>
      <c r="T1231" s="19"/>
      <c r="U1231" s="19"/>
      <c r="V1231" s="19"/>
      <c r="W1231" s="19"/>
      <c r="X1231" s="19"/>
      <c r="Y1231" s="19"/>
      <c r="Z1231" s="19"/>
    </row>
    <row r="1232" spans="1:26" ht="15" thickBot="1" x14ac:dyDescent="0.35">
      <c r="A1232" s="19"/>
      <c r="B1232" s="19"/>
      <c r="C1232" s="19"/>
      <c r="D1232" s="19"/>
      <c r="E1232" s="19"/>
      <c r="F1232" s="19"/>
      <c r="G1232" s="19"/>
      <c r="H1232" s="19"/>
      <c r="I1232" s="19"/>
      <c r="J1232" s="19"/>
      <c r="K1232" s="19"/>
      <c r="L1232" s="19"/>
      <c r="M1232" s="19"/>
      <c r="N1232" s="19"/>
      <c r="O1232" s="19"/>
      <c r="P1232" s="19"/>
      <c r="Q1232" s="19"/>
      <c r="R1232" s="19"/>
      <c r="S1232" s="19"/>
      <c r="T1232" s="19"/>
      <c r="U1232" s="19"/>
      <c r="V1232" s="19"/>
      <c r="W1232" s="19"/>
      <c r="X1232" s="19"/>
      <c r="Y1232" s="19"/>
      <c r="Z1232" s="19"/>
    </row>
    <row r="1233" spans="1:26" ht="15" thickBot="1" x14ac:dyDescent="0.35">
      <c r="A1233" s="19"/>
      <c r="B1233" s="19"/>
      <c r="C1233" s="19"/>
      <c r="D1233" s="19"/>
      <c r="E1233" s="19"/>
      <c r="F1233" s="19"/>
      <c r="G1233" s="19"/>
      <c r="H1233" s="19"/>
      <c r="I1233" s="19"/>
      <c r="J1233" s="19"/>
      <c r="K1233" s="19"/>
      <c r="L1233" s="19"/>
      <c r="M1233" s="19"/>
      <c r="N1233" s="19"/>
      <c r="O1233" s="19"/>
      <c r="P1233" s="19"/>
      <c r="Q1233" s="19"/>
      <c r="R1233" s="19"/>
      <c r="S1233" s="19"/>
      <c r="T1233" s="19"/>
      <c r="U1233" s="19"/>
      <c r="V1233" s="19"/>
      <c r="W1233" s="19"/>
      <c r="X1233" s="19"/>
      <c r="Y1233" s="19"/>
      <c r="Z1233" s="19"/>
    </row>
    <row r="1234" spans="1:26" ht="15" thickBot="1" x14ac:dyDescent="0.35">
      <c r="A1234" s="19"/>
      <c r="B1234" s="19"/>
      <c r="C1234" s="19"/>
      <c r="D1234" s="19"/>
      <c r="E1234" s="19"/>
      <c r="F1234" s="19"/>
      <c r="G1234" s="19"/>
      <c r="H1234" s="19"/>
      <c r="I1234" s="19"/>
      <c r="J1234" s="19"/>
      <c r="K1234" s="19"/>
      <c r="L1234" s="19"/>
      <c r="M1234" s="19"/>
      <c r="N1234" s="19"/>
      <c r="O1234" s="19"/>
      <c r="P1234" s="19"/>
      <c r="Q1234" s="19"/>
      <c r="R1234" s="19"/>
      <c r="S1234" s="19"/>
      <c r="T1234" s="19"/>
      <c r="U1234" s="19"/>
      <c r="V1234" s="19"/>
      <c r="W1234" s="19"/>
      <c r="X1234" s="19"/>
      <c r="Y1234" s="19"/>
      <c r="Z1234" s="19"/>
    </row>
    <row r="1235" spans="1:26" ht="15" thickBot="1" x14ac:dyDescent="0.35">
      <c r="A1235" s="19"/>
      <c r="B1235" s="19"/>
      <c r="C1235" s="19"/>
      <c r="D1235" s="19"/>
      <c r="E1235" s="19"/>
      <c r="F1235" s="19"/>
      <c r="G1235" s="19"/>
      <c r="H1235" s="19"/>
      <c r="I1235" s="19"/>
      <c r="J1235" s="19"/>
      <c r="K1235" s="19"/>
      <c r="L1235" s="19"/>
      <c r="M1235" s="19"/>
      <c r="N1235" s="19"/>
      <c r="O1235" s="19"/>
      <c r="P1235" s="19"/>
      <c r="Q1235" s="19"/>
      <c r="R1235" s="19"/>
      <c r="S1235" s="19"/>
      <c r="T1235" s="19"/>
      <c r="U1235" s="19"/>
      <c r="V1235" s="19"/>
      <c r="W1235" s="19"/>
      <c r="X1235" s="19"/>
      <c r="Y1235" s="19"/>
      <c r="Z1235" s="19"/>
    </row>
    <row r="1236" spans="1:26" ht="15" thickBot="1" x14ac:dyDescent="0.35">
      <c r="A1236" s="19"/>
      <c r="B1236" s="19"/>
      <c r="C1236" s="19"/>
      <c r="D1236" s="19"/>
      <c r="E1236" s="19"/>
      <c r="F1236" s="19"/>
      <c r="G1236" s="19"/>
      <c r="H1236" s="19"/>
      <c r="I1236" s="19"/>
      <c r="J1236" s="19"/>
      <c r="K1236" s="19"/>
      <c r="L1236" s="19"/>
      <c r="M1236" s="19"/>
      <c r="N1236" s="19"/>
      <c r="O1236" s="19"/>
      <c r="P1236" s="19"/>
      <c r="Q1236" s="19"/>
      <c r="R1236" s="19"/>
      <c r="S1236" s="19"/>
      <c r="T1236" s="19"/>
      <c r="U1236" s="19"/>
      <c r="V1236" s="19"/>
      <c r="W1236" s="19"/>
      <c r="X1236" s="19"/>
      <c r="Y1236" s="19"/>
      <c r="Z1236" s="19"/>
    </row>
    <row r="1237" spans="1:26" ht="15" thickBot="1" x14ac:dyDescent="0.35">
      <c r="A1237" s="19"/>
      <c r="B1237" s="19"/>
      <c r="C1237" s="19"/>
      <c r="D1237" s="19"/>
      <c r="E1237" s="19"/>
      <c r="F1237" s="19"/>
      <c r="G1237" s="19"/>
      <c r="H1237" s="19"/>
      <c r="I1237" s="19"/>
      <c r="J1237" s="19"/>
      <c r="K1237" s="19"/>
      <c r="L1237" s="19"/>
      <c r="M1237" s="19"/>
      <c r="N1237" s="19"/>
      <c r="O1237" s="19"/>
      <c r="P1237" s="19"/>
      <c r="Q1237" s="19"/>
      <c r="R1237" s="19"/>
      <c r="S1237" s="19"/>
      <c r="T1237" s="19"/>
      <c r="U1237" s="19"/>
      <c r="V1237" s="19"/>
      <c r="W1237" s="19"/>
      <c r="X1237" s="19"/>
      <c r="Y1237" s="19"/>
      <c r="Z1237" s="19"/>
    </row>
    <row r="1238" spans="1:26" ht="15" thickBot="1" x14ac:dyDescent="0.35">
      <c r="A1238" s="19"/>
      <c r="B1238" s="19"/>
      <c r="C1238" s="19"/>
      <c r="D1238" s="19"/>
      <c r="E1238" s="19"/>
      <c r="F1238" s="19"/>
      <c r="G1238" s="19"/>
      <c r="H1238" s="19"/>
      <c r="I1238" s="19"/>
      <c r="J1238" s="19"/>
      <c r="K1238" s="19"/>
      <c r="L1238" s="19"/>
      <c r="M1238" s="19"/>
      <c r="N1238" s="19"/>
      <c r="O1238" s="19"/>
      <c r="P1238" s="19"/>
      <c r="Q1238" s="19"/>
      <c r="R1238" s="19"/>
      <c r="S1238" s="19"/>
      <c r="T1238" s="19"/>
      <c r="U1238" s="19"/>
      <c r="V1238" s="19"/>
      <c r="W1238" s="19"/>
      <c r="X1238" s="19"/>
      <c r="Y1238" s="19"/>
      <c r="Z1238" s="19"/>
    </row>
    <row r="1239" spans="1:26" ht="15" thickBot="1" x14ac:dyDescent="0.35">
      <c r="A1239" s="19"/>
      <c r="B1239" s="19"/>
      <c r="C1239" s="19"/>
      <c r="D1239" s="19"/>
      <c r="E1239" s="19"/>
      <c r="F1239" s="19"/>
      <c r="G1239" s="19"/>
      <c r="H1239" s="19"/>
      <c r="I1239" s="19"/>
      <c r="J1239" s="19"/>
      <c r="K1239" s="19"/>
      <c r="L1239" s="19"/>
      <c r="M1239" s="19"/>
      <c r="N1239" s="19"/>
      <c r="O1239" s="19"/>
      <c r="P1239" s="19"/>
      <c r="Q1239" s="19"/>
      <c r="R1239" s="19"/>
      <c r="S1239" s="19"/>
      <c r="T1239" s="19"/>
      <c r="U1239" s="19"/>
      <c r="V1239" s="19"/>
      <c r="W1239" s="19"/>
      <c r="X1239" s="19"/>
      <c r="Y1239" s="19"/>
      <c r="Z1239" s="19"/>
    </row>
    <row r="1240" spans="1:26" ht="15" thickBot="1" x14ac:dyDescent="0.35">
      <c r="A1240" s="19"/>
      <c r="B1240" s="19"/>
      <c r="C1240" s="19"/>
      <c r="D1240" s="19"/>
      <c r="E1240" s="19"/>
      <c r="F1240" s="19"/>
      <c r="G1240" s="19"/>
      <c r="H1240" s="19"/>
      <c r="I1240" s="19"/>
      <c r="J1240" s="19"/>
      <c r="K1240" s="19"/>
      <c r="L1240" s="19"/>
      <c r="M1240" s="19"/>
      <c r="N1240" s="19"/>
      <c r="O1240" s="19"/>
      <c r="P1240" s="19"/>
      <c r="Q1240" s="19"/>
      <c r="R1240" s="19"/>
      <c r="S1240" s="19"/>
      <c r="T1240" s="19"/>
      <c r="U1240" s="19"/>
      <c r="V1240" s="19"/>
      <c r="W1240" s="19"/>
      <c r="X1240" s="19"/>
      <c r="Y1240" s="19"/>
      <c r="Z1240" s="19"/>
    </row>
    <row r="1241" spans="1:26" ht="15" thickBot="1" x14ac:dyDescent="0.35">
      <c r="A1241" s="19"/>
      <c r="B1241" s="19"/>
      <c r="C1241" s="19"/>
      <c r="D1241" s="19"/>
      <c r="E1241" s="19"/>
      <c r="F1241" s="19"/>
      <c r="G1241" s="19"/>
      <c r="H1241" s="19"/>
      <c r="I1241" s="19"/>
      <c r="J1241" s="19"/>
      <c r="K1241" s="19"/>
      <c r="L1241" s="19"/>
      <c r="M1241" s="19"/>
      <c r="N1241" s="19"/>
      <c r="O1241" s="19"/>
      <c r="P1241" s="19"/>
      <c r="Q1241" s="19"/>
      <c r="R1241" s="19"/>
      <c r="S1241" s="19"/>
      <c r="T1241" s="19"/>
      <c r="U1241" s="19"/>
      <c r="V1241" s="19"/>
      <c r="W1241" s="19"/>
      <c r="X1241" s="19"/>
      <c r="Y1241" s="19"/>
      <c r="Z1241" s="19"/>
    </row>
    <row r="1242" spans="1:26" ht="15" thickBot="1" x14ac:dyDescent="0.35">
      <c r="A1242" s="19"/>
      <c r="B1242" s="19"/>
      <c r="C1242" s="19"/>
      <c r="D1242" s="19"/>
      <c r="E1242" s="19"/>
      <c r="F1242" s="19"/>
      <c r="G1242" s="19"/>
      <c r="H1242" s="19"/>
      <c r="I1242" s="19"/>
      <c r="J1242" s="19"/>
      <c r="K1242" s="19"/>
      <c r="L1242" s="19"/>
      <c r="M1242" s="19"/>
      <c r="N1242" s="19"/>
      <c r="O1242" s="19"/>
      <c r="P1242" s="19"/>
      <c r="Q1242" s="19"/>
      <c r="R1242" s="19"/>
      <c r="S1242" s="19"/>
      <c r="T1242" s="19"/>
      <c r="U1242" s="19"/>
      <c r="V1242" s="19"/>
      <c r="W1242" s="19"/>
      <c r="X1242" s="19"/>
      <c r="Y1242" s="19"/>
      <c r="Z1242" s="19"/>
    </row>
    <row r="1243" spans="1:26" ht="15" thickBot="1" x14ac:dyDescent="0.35">
      <c r="A1243" s="19"/>
      <c r="B1243" s="19"/>
      <c r="C1243" s="19"/>
      <c r="D1243" s="19"/>
      <c r="E1243" s="19"/>
      <c r="F1243" s="19"/>
      <c r="G1243" s="19"/>
      <c r="H1243" s="19"/>
      <c r="I1243" s="19"/>
      <c r="J1243" s="19"/>
      <c r="K1243" s="19"/>
      <c r="L1243" s="19"/>
      <c r="M1243" s="19"/>
      <c r="N1243" s="19"/>
      <c r="O1243" s="19"/>
      <c r="P1243" s="19"/>
      <c r="Q1243" s="19"/>
      <c r="R1243" s="19"/>
      <c r="S1243" s="19"/>
      <c r="T1243" s="19"/>
      <c r="U1243" s="19"/>
      <c r="V1243" s="19"/>
      <c r="W1243" s="19"/>
      <c r="X1243" s="19"/>
      <c r="Y1243" s="19"/>
      <c r="Z1243" s="19"/>
    </row>
    <row r="1244" spans="1:26" ht="15" thickBot="1" x14ac:dyDescent="0.35">
      <c r="A1244" s="19"/>
      <c r="B1244" s="19"/>
      <c r="C1244" s="19"/>
      <c r="D1244" s="19"/>
      <c r="E1244" s="19"/>
      <c r="F1244" s="19"/>
      <c r="G1244" s="19"/>
      <c r="H1244" s="19"/>
      <c r="I1244" s="19"/>
      <c r="J1244" s="19"/>
      <c r="K1244" s="19"/>
      <c r="L1244" s="19"/>
      <c r="M1244" s="19"/>
      <c r="N1244" s="19"/>
      <c r="O1244" s="19"/>
      <c r="P1244" s="19"/>
      <c r="Q1244" s="19"/>
      <c r="R1244" s="19"/>
      <c r="S1244" s="19"/>
      <c r="T1244" s="19"/>
      <c r="U1244" s="19"/>
      <c r="V1244" s="19"/>
      <c r="W1244" s="19"/>
      <c r="X1244" s="19"/>
      <c r="Y1244" s="19"/>
      <c r="Z1244" s="19"/>
    </row>
    <row r="1245" spans="1:26" ht="15" thickBot="1" x14ac:dyDescent="0.35">
      <c r="A1245" s="19"/>
      <c r="B1245" s="19"/>
      <c r="C1245" s="19"/>
      <c r="D1245" s="19"/>
      <c r="E1245" s="19"/>
      <c r="F1245" s="19"/>
      <c r="G1245" s="19"/>
      <c r="H1245" s="19"/>
      <c r="I1245" s="19"/>
      <c r="J1245" s="19"/>
      <c r="K1245" s="19"/>
      <c r="L1245" s="19"/>
      <c r="M1245" s="19"/>
      <c r="N1245" s="19"/>
      <c r="O1245" s="19"/>
      <c r="P1245" s="19"/>
      <c r="Q1245" s="19"/>
      <c r="R1245" s="19"/>
      <c r="S1245" s="19"/>
      <c r="T1245" s="19"/>
      <c r="U1245" s="19"/>
      <c r="V1245" s="19"/>
      <c r="W1245" s="19"/>
      <c r="X1245" s="19"/>
      <c r="Y1245" s="19"/>
      <c r="Z1245" s="19"/>
    </row>
    <row r="1246" spans="1:26" ht="15" thickBot="1" x14ac:dyDescent="0.35">
      <c r="A1246" s="19"/>
      <c r="B1246" s="19"/>
      <c r="C1246" s="19"/>
      <c r="D1246" s="19"/>
      <c r="E1246" s="19"/>
      <c r="F1246" s="19"/>
      <c r="G1246" s="19"/>
      <c r="H1246" s="19"/>
      <c r="I1246" s="19"/>
      <c r="J1246" s="19"/>
      <c r="K1246" s="19"/>
      <c r="L1246" s="19"/>
      <c r="M1246" s="19"/>
      <c r="N1246" s="19"/>
      <c r="O1246" s="19"/>
      <c r="P1246" s="19"/>
      <c r="Q1246" s="19"/>
      <c r="R1246" s="19"/>
      <c r="S1246" s="19"/>
      <c r="T1246" s="19"/>
      <c r="U1246" s="19"/>
      <c r="V1246" s="19"/>
      <c r="W1246" s="19"/>
      <c r="X1246" s="19"/>
      <c r="Y1246" s="19"/>
      <c r="Z1246" s="19"/>
    </row>
    <row r="1247" spans="1:26" ht="15" thickBot="1" x14ac:dyDescent="0.35">
      <c r="A1247" s="19"/>
      <c r="B1247" s="19"/>
      <c r="C1247" s="19"/>
      <c r="D1247" s="19"/>
      <c r="E1247" s="19"/>
      <c r="F1247" s="19"/>
      <c r="G1247" s="19"/>
      <c r="H1247" s="19"/>
      <c r="I1247" s="19"/>
      <c r="J1247" s="19"/>
      <c r="K1247" s="19"/>
      <c r="L1247" s="19"/>
      <c r="M1247" s="19"/>
      <c r="N1247" s="19"/>
      <c r="O1247" s="19"/>
      <c r="P1247" s="19"/>
      <c r="Q1247" s="19"/>
      <c r="R1247" s="19"/>
      <c r="S1247" s="19"/>
      <c r="T1247" s="19"/>
      <c r="U1247" s="19"/>
      <c r="V1247" s="19"/>
      <c r="W1247" s="19"/>
      <c r="X1247" s="19"/>
      <c r="Y1247" s="19"/>
      <c r="Z1247" s="19"/>
    </row>
    <row r="1248" spans="1:26" ht="15" thickBot="1" x14ac:dyDescent="0.35">
      <c r="A1248" s="19"/>
      <c r="B1248" s="19"/>
      <c r="C1248" s="19"/>
      <c r="D1248" s="19"/>
      <c r="E1248" s="19"/>
      <c r="F1248" s="19"/>
      <c r="G1248" s="19"/>
      <c r="H1248" s="19"/>
      <c r="I1248" s="19"/>
      <c r="J1248" s="19"/>
      <c r="K1248" s="19"/>
      <c r="L1248" s="19"/>
      <c r="M1248" s="19"/>
      <c r="N1248" s="19"/>
      <c r="O1248" s="19"/>
      <c r="P1248" s="19"/>
      <c r="Q1248" s="19"/>
      <c r="R1248" s="19"/>
      <c r="S1248" s="19"/>
      <c r="T1248" s="19"/>
      <c r="U1248" s="19"/>
      <c r="V1248" s="19"/>
      <c r="W1248" s="19"/>
      <c r="X1248" s="19"/>
      <c r="Y1248" s="19"/>
      <c r="Z1248" s="19"/>
    </row>
    <row r="1249" spans="1:26" ht="15" thickBot="1" x14ac:dyDescent="0.35">
      <c r="A1249" s="19"/>
      <c r="B1249" s="19"/>
      <c r="C1249" s="19"/>
      <c r="D1249" s="19"/>
      <c r="E1249" s="19"/>
      <c r="F1249" s="19"/>
      <c r="G1249" s="19"/>
      <c r="H1249" s="19"/>
      <c r="I1249" s="19"/>
      <c r="J1249" s="19"/>
      <c r="K1249" s="19"/>
      <c r="L1249" s="19"/>
      <c r="M1249" s="19"/>
      <c r="N1249" s="19"/>
      <c r="O1249" s="19"/>
      <c r="P1249" s="19"/>
      <c r="Q1249" s="19"/>
      <c r="R1249" s="19"/>
      <c r="S1249" s="19"/>
      <c r="T1249" s="19"/>
      <c r="U1249" s="19"/>
      <c r="V1249" s="19"/>
      <c r="W1249" s="19"/>
      <c r="X1249" s="19"/>
      <c r="Y1249" s="19"/>
      <c r="Z1249" s="19"/>
    </row>
    <row r="1250" spans="1:26" ht="15" thickBot="1" x14ac:dyDescent="0.35">
      <c r="A1250" s="19"/>
      <c r="B1250" s="19"/>
      <c r="C1250" s="19"/>
      <c r="D1250" s="19"/>
      <c r="E1250" s="19"/>
      <c r="F1250" s="19"/>
      <c r="G1250" s="19"/>
      <c r="H1250" s="19"/>
      <c r="I1250" s="19"/>
      <c r="J1250" s="19"/>
      <c r="K1250" s="19"/>
      <c r="L1250" s="19"/>
      <c r="M1250" s="19"/>
      <c r="N1250" s="19"/>
      <c r="O1250" s="19"/>
      <c r="P1250" s="19"/>
      <c r="Q1250" s="19"/>
      <c r="R1250" s="19"/>
      <c r="S1250" s="19"/>
      <c r="T1250" s="19"/>
      <c r="U1250" s="19"/>
      <c r="V1250" s="19"/>
      <c r="W1250" s="19"/>
      <c r="X1250" s="19"/>
      <c r="Y1250" s="19"/>
      <c r="Z1250" s="19"/>
    </row>
    <row r="1251" spans="1:26" ht="15" thickBot="1" x14ac:dyDescent="0.35">
      <c r="A1251" s="19"/>
      <c r="B1251" s="19"/>
      <c r="C1251" s="19"/>
      <c r="D1251" s="19"/>
      <c r="E1251" s="19"/>
      <c r="F1251" s="19"/>
      <c r="G1251" s="19"/>
      <c r="H1251" s="19"/>
      <c r="I1251" s="19"/>
      <c r="J1251" s="19"/>
      <c r="K1251" s="19"/>
      <c r="L1251" s="19"/>
      <c r="M1251" s="19"/>
      <c r="N1251" s="19"/>
      <c r="O1251" s="19"/>
      <c r="P1251" s="19"/>
      <c r="Q1251" s="19"/>
      <c r="R1251" s="19"/>
      <c r="S1251" s="19"/>
      <c r="T1251" s="19"/>
      <c r="U1251" s="19"/>
      <c r="V1251" s="19"/>
      <c r="W1251" s="19"/>
      <c r="X1251" s="19"/>
      <c r="Y1251" s="19"/>
      <c r="Z1251" s="19"/>
    </row>
    <row r="1252" spans="1:26" ht="15" thickBot="1" x14ac:dyDescent="0.35">
      <c r="A1252" s="19"/>
      <c r="B1252" s="19"/>
      <c r="C1252" s="19"/>
      <c r="D1252" s="19"/>
      <c r="E1252" s="19"/>
      <c r="F1252" s="19"/>
      <c r="G1252" s="19"/>
      <c r="H1252" s="19"/>
      <c r="I1252" s="19"/>
      <c r="J1252" s="19"/>
      <c r="K1252" s="19"/>
      <c r="L1252" s="19"/>
      <c r="M1252" s="19"/>
      <c r="N1252" s="19"/>
      <c r="O1252" s="19"/>
      <c r="P1252" s="19"/>
      <c r="Q1252" s="19"/>
      <c r="R1252" s="19"/>
      <c r="S1252" s="19"/>
      <c r="T1252" s="19"/>
      <c r="U1252" s="19"/>
      <c r="V1252" s="19"/>
      <c r="W1252" s="19"/>
      <c r="X1252" s="19"/>
      <c r="Y1252" s="19"/>
      <c r="Z1252" s="19"/>
    </row>
    <row r="1253" spans="1:26" ht="15" thickBot="1" x14ac:dyDescent="0.35">
      <c r="A1253" s="19"/>
      <c r="B1253" s="19"/>
      <c r="C1253" s="19"/>
      <c r="D1253" s="19"/>
      <c r="E1253" s="19"/>
      <c r="F1253" s="19"/>
      <c r="G1253" s="19"/>
      <c r="H1253" s="19"/>
      <c r="I1253" s="19"/>
      <c r="J1253" s="19"/>
      <c r="K1253" s="19"/>
      <c r="L1253" s="19"/>
      <c r="M1253" s="19"/>
      <c r="N1253" s="19"/>
      <c r="O1253" s="19"/>
      <c r="P1253" s="19"/>
      <c r="Q1253" s="19"/>
      <c r="R1253" s="19"/>
      <c r="S1253" s="19"/>
      <c r="T1253" s="19"/>
      <c r="U1253" s="19"/>
      <c r="V1253" s="19"/>
      <c r="W1253" s="19"/>
      <c r="X1253" s="19"/>
      <c r="Y1253" s="19"/>
      <c r="Z1253" s="19"/>
    </row>
    <row r="1254" spans="1:26" ht="15" thickBot="1" x14ac:dyDescent="0.35">
      <c r="A1254" s="19"/>
      <c r="B1254" s="19"/>
      <c r="C1254" s="19"/>
      <c r="D1254" s="19"/>
      <c r="E1254" s="19"/>
      <c r="F1254" s="19"/>
      <c r="G1254" s="19"/>
      <c r="H1254" s="19"/>
      <c r="I1254" s="19"/>
      <c r="J1254" s="19"/>
      <c r="K1254" s="19"/>
      <c r="L1254" s="19"/>
      <c r="M1254" s="19"/>
      <c r="N1254" s="19"/>
      <c r="O1254" s="19"/>
      <c r="P1254" s="19"/>
      <c r="Q1254" s="19"/>
      <c r="R1254" s="19"/>
      <c r="S1254" s="19"/>
      <c r="T1254" s="19"/>
      <c r="U1254" s="19"/>
      <c r="V1254" s="19"/>
      <c r="W1254" s="19"/>
      <c r="X1254" s="19"/>
      <c r="Y1254" s="19"/>
      <c r="Z1254" s="19"/>
    </row>
    <row r="1255" spans="1:26" ht="15" thickBot="1" x14ac:dyDescent="0.35">
      <c r="A1255" s="19"/>
      <c r="B1255" s="19"/>
      <c r="C1255" s="19"/>
      <c r="D1255" s="19"/>
      <c r="E1255" s="19"/>
      <c r="F1255" s="19"/>
      <c r="G1255" s="19"/>
      <c r="H1255" s="19"/>
      <c r="I1255" s="19"/>
      <c r="J1255" s="19"/>
      <c r="K1255" s="19"/>
      <c r="L1255" s="19"/>
      <c r="M1255" s="19"/>
      <c r="N1255" s="19"/>
      <c r="O1255" s="19"/>
      <c r="P1255" s="19"/>
      <c r="Q1255" s="19"/>
      <c r="R1255" s="19"/>
      <c r="S1255" s="19"/>
      <c r="T1255" s="19"/>
      <c r="U1255" s="19"/>
      <c r="V1255" s="19"/>
      <c r="W1255" s="19"/>
      <c r="X1255" s="19"/>
      <c r="Y1255" s="19"/>
      <c r="Z1255" s="19"/>
    </row>
    <row r="1256" spans="1:26" ht="15" thickBot="1" x14ac:dyDescent="0.35">
      <c r="A1256" s="19"/>
      <c r="B1256" s="19"/>
      <c r="C1256" s="19"/>
      <c r="D1256" s="19"/>
      <c r="E1256" s="19"/>
      <c r="F1256" s="19"/>
      <c r="G1256" s="19"/>
      <c r="H1256" s="19"/>
      <c r="I1256" s="19"/>
      <c r="J1256" s="19"/>
      <c r="K1256" s="19"/>
      <c r="L1256" s="19"/>
      <c r="M1256" s="19"/>
      <c r="N1256" s="19"/>
      <c r="O1256" s="19"/>
      <c r="P1256" s="19"/>
      <c r="Q1256" s="19"/>
      <c r="R1256" s="19"/>
      <c r="S1256" s="19"/>
      <c r="T1256" s="19"/>
      <c r="U1256" s="19"/>
      <c r="V1256" s="19"/>
      <c r="W1256" s="19"/>
      <c r="X1256" s="19"/>
      <c r="Y1256" s="19"/>
      <c r="Z1256" s="19"/>
    </row>
    <row r="1257" spans="1:26" ht="15" thickBot="1" x14ac:dyDescent="0.35">
      <c r="A1257" s="19"/>
      <c r="B1257" s="19"/>
      <c r="C1257" s="19"/>
      <c r="D1257" s="19"/>
      <c r="E1257" s="19"/>
      <c r="F1257" s="19"/>
      <c r="G1257" s="19"/>
      <c r="H1257" s="19"/>
      <c r="I1257" s="19"/>
      <c r="J1257" s="19"/>
      <c r="K1257" s="19"/>
      <c r="L1257" s="19"/>
      <c r="M1257" s="19"/>
      <c r="N1257" s="19"/>
      <c r="O1257" s="19"/>
      <c r="P1257" s="19"/>
      <c r="Q1257" s="19"/>
      <c r="R1257" s="19"/>
      <c r="S1257" s="19"/>
      <c r="T1257" s="19"/>
      <c r="U1257" s="19"/>
      <c r="V1257" s="19"/>
      <c r="W1257" s="19"/>
      <c r="X1257" s="19"/>
      <c r="Y1257" s="19"/>
      <c r="Z1257" s="19"/>
    </row>
    <row r="1258" spans="1:26" ht="15" thickBot="1" x14ac:dyDescent="0.35">
      <c r="A1258" s="19"/>
      <c r="B1258" s="19"/>
      <c r="C1258" s="19"/>
      <c r="D1258" s="19"/>
      <c r="E1258" s="19"/>
      <c r="F1258" s="19"/>
      <c r="G1258" s="19"/>
      <c r="H1258" s="19"/>
      <c r="I1258" s="19"/>
      <c r="J1258" s="19"/>
      <c r="K1258" s="19"/>
      <c r="L1258" s="19"/>
      <c r="M1258" s="19"/>
      <c r="N1258" s="19"/>
      <c r="O1258" s="19"/>
      <c r="P1258" s="19"/>
      <c r="Q1258" s="19"/>
      <c r="R1258" s="19"/>
      <c r="S1258" s="19"/>
      <c r="T1258" s="19"/>
      <c r="U1258" s="19"/>
      <c r="V1258" s="19"/>
      <c r="W1258" s="19"/>
      <c r="X1258" s="19"/>
      <c r="Y1258" s="19"/>
      <c r="Z1258" s="19"/>
    </row>
    <row r="1259" spans="1:26" ht="15" thickBot="1" x14ac:dyDescent="0.35">
      <c r="A1259" s="19"/>
      <c r="B1259" s="19"/>
      <c r="C1259" s="19"/>
      <c r="D1259" s="19"/>
      <c r="E1259" s="19"/>
      <c r="F1259" s="19"/>
      <c r="G1259" s="19"/>
      <c r="H1259" s="19"/>
      <c r="I1259" s="19"/>
      <c r="J1259" s="19"/>
      <c r="K1259" s="19"/>
      <c r="L1259" s="19"/>
      <c r="M1259" s="19"/>
      <c r="N1259" s="19"/>
      <c r="O1259" s="19"/>
      <c r="P1259" s="19"/>
      <c r="Q1259" s="19"/>
      <c r="R1259" s="19"/>
      <c r="S1259" s="19"/>
      <c r="T1259" s="19"/>
      <c r="U1259" s="19"/>
      <c r="V1259" s="19"/>
      <c r="W1259" s="19"/>
      <c r="X1259" s="19"/>
      <c r="Y1259" s="19"/>
      <c r="Z1259" s="19"/>
    </row>
    <row r="1260" spans="1:26" ht="15" thickBot="1" x14ac:dyDescent="0.35">
      <c r="A1260" s="19"/>
      <c r="B1260" s="19"/>
      <c r="C1260" s="19"/>
      <c r="D1260" s="19"/>
      <c r="E1260" s="19"/>
      <c r="F1260" s="19"/>
      <c r="G1260" s="19"/>
      <c r="H1260" s="19"/>
      <c r="I1260" s="19"/>
      <c r="J1260" s="19"/>
      <c r="K1260" s="19"/>
      <c r="L1260" s="19"/>
      <c r="M1260" s="19"/>
      <c r="N1260" s="19"/>
      <c r="O1260" s="19"/>
      <c r="P1260" s="19"/>
      <c r="Q1260" s="19"/>
      <c r="R1260" s="19"/>
      <c r="S1260" s="19"/>
      <c r="T1260" s="19"/>
      <c r="U1260" s="19"/>
      <c r="V1260" s="19"/>
      <c r="W1260" s="19"/>
      <c r="X1260" s="19"/>
      <c r="Y1260" s="19"/>
      <c r="Z1260" s="19"/>
    </row>
    <row r="1261" spans="1:26" ht="15" thickBot="1" x14ac:dyDescent="0.35">
      <c r="A1261" s="19"/>
      <c r="B1261" s="19"/>
      <c r="C1261" s="19"/>
      <c r="D1261" s="19"/>
      <c r="E1261" s="19"/>
      <c r="F1261" s="19"/>
      <c r="G1261" s="19"/>
      <c r="H1261" s="19"/>
      <c r="I1261" s="19"/>
      <c r="J1261" s="19"/>
      <c r="K1261" s="19"/>
      <c r="L1261" s="19"/>
      <c r="M1261" s="19"/>
      <c r="N1261" s="19"/>
      <c r="O1261" s="19"/>
      <c r="P1261" s="19"/>
      <c r="Q1261" s="19"/>
      <c r="R1261" s="19"/>
      <c r="S1261" s="19"/>
      <c r="T1261" s="19"/>
      <c r="U1261" s="19"/>
      <c r="V1261" s="19"/>
      <c r="W1261" s="19"/>
      <c r="X1261" s="19"/>
      <c r="Y1261" s="19"/>
      <c r="Z1261" s="19"/>
    </row>
    <row r="1262" spans="1:26" ht="15" thickBot="1" x14ac:dyDescent="0.35">
      <c r="A1262" s="19"/>
      <c r="B1262" s="19"/>
      <c r="C1262" s="19"/>
      <c r="D1262" s="19"/>
      <c r="E1262" s="19"/>
      <c r="F1262" s="19"/>
      <c r="G1262" s="19"/>
      <c r="H1262" s="19"/>
      <c r="I1262" s="19"/>
      <c r="J1262" s="19"/>
      <c r="K1262" s="19"/>
      <c r="L1262" s="19"/>
      <c r="M1262" s="19"/>
      <c r="N1262" s="19"/>
      <c r="O1262" s="19"/>
      <c r="P1262" s="19"/>
      <c r="Q1262" s="19"/>
      <c r="R1262" s="19"/>
      <c r="S1262" s="19"/>
      <c r="T1262" s="19"/>
      <c r="U1262" s="19"/>
      <c r="V1262" s="19"/>
      <c r="W1262" s="19"/>
      <c r="X1262" s="19"/>
      <c r="Y1262" s="19"/>
      <c r="Z1262" s="19"/>
    </row>
    <row r="1263" spans="1:26" ht="15" thickBot="1" x14ac:dyDescent="0.35">
      <c r="A1263" s="19"/>
      <c r="B1263" s="19"/>
      <c r="C1263" s="19"/>
      <c r="D1263" s="19"/>
      <c r="E1263" s="19"/>
      <c r="F1263" s="19"/>
      <c r="G1263" s="19"/>
      <c r="H1263" s="19"/>
      <c r="I1263" s="19"/>
      <c r="J1263" s="19"/>
      <c r="K1263" s="19"/>
      <c r="L1263" s="19"/>
      <c r="M1263" s="19"/>
      <c r="N1263" s="19"/>
      <c r="O1263" s="19"/>
      <c r="P1263" s="19"/>
      <c r="Q1263" s="19"/>
      <c r="R1263" s="19"/>
      <c r="S1263" s="19"/>
      <c r="T1263" s="19"/>
      <c r="U1263" s="19"/>
      <c r="V1263" s="19"/>
      <c r="W1263" s="19"/>
      <c r="X1263" s="19"/>
      <c r="Y1263" s="19"/>
      <c r="Z1263" s="19"/>
    </row>
    <row r="1264" spans="1:26" ht="15" thickBot="1" x14ac:dyDescent="0.35">
      <c r="A1264" s="19"/>
      <c r="B1264" s="19"/>
      <c r="C1264" s="19"/>
      <c r="D1264" s="19"/>
      <c r="E1264" s="19"/>
      <c r="F1264" s="19"/>
      <c r="G1264" s="19"/>
      <c r="H1264" s="19"/>
      <c r="I1264" s="19"/>
      <c r="J1264" s="19"/>
      <c r="K1264" s="19"/>
      <c r="L1264" s="19"/>
      <c r="M1264" s="19"/>
      <c r="N1264" s="19"/>
      <c r="O1264" s="19"/>
      <c r="P1264" s="19"/>
      <c r="Q1264" s="19"/>
      <c r="R1264" s="19"/>
      <c r="S1264" s="19"/>
      <c r="T1264" s="19"/>
      <c r="U1264" s="19"/>
      <c r="V1264" s="19"/>
      <c r="W1264" s="19"/>
      <c r="X1264" s="19"/>
      <c r="Y1264" s="19"/>
      <c r="Z1264" s="19"/>
    </row>
    <row r="1265" spans="1:26" ht="15" thickBot="1" x14ac:dyDescent="0.35">
      <c r="A1265" s="19"/>
      <c r="B1265" s="19"/>
      <c r="C1265" s="19"/>
      <c r="D1265" s="19"/>
      <c r="E1265" s="19"/>
      <c r="F1265" s="19"/>
      <c r="G1265" s="19"/>
      <c r="H1265" s="19"/>
      <c r="I1265" s="19"/>
      <c r="J1265" s="19"/>
      <c r="K1265" s="19"/>
      <c r="L1265" s="19"/>
      <c r="M1265" s="19"/>
      <c r="N1265" s="19"/>
      <c r="O1265" s="19"/>
      <c r="P1265" s="19"/>
      <c r="Q1265" s="19"/>
      <c r="R1265" s="19"/>
      <c r="S1265" s="19"/>
      <c r="T1265" s="19"/>
      <c r="U1265" s="19"/>
      <c r="V1265" s="19"/>
      <c r="W1265" s="19"/>
      <c r="X1265" s="19"/>
      <c r="Y1265" s="19"/>
      <c r="Z1265" s="19"/>
    </row>
    <row r="1266" spans="1:26" ht="15" thickBot="1" x14ac:dyDescent="0.35">
      <c r="A1266" s="19"/>
      <c r="B1266" s="19"/>
      <c r="C1266" s="19"/>
      <c r="D1266" s="19"/>
      <c r="E1266" s="19"/>
      <c r="F1266" s="19"/>
      <c r="G1266" s="19"/>
      <c r="H1266" s="19"/>
      <c r="I1266" s="19"/>
      <c r="J1266" s="19"/>
      <c r="K1266" s="19"/>
      <c r="L1266" s="19"/>
      <c r="M1266" s="19"/>
      <c r="N1266" s="19"/>
      <c r="O1266" s="19"/>
      <c r="P1266" s="19"/>
      <c r="Q1266" s="19"/>
      <c r="R1266" s="19"/>
      <c r="S1266" s="19"/>
      <c r="T1266" s="19"/>
      <c r="U1266" s="19"/>
      <c r="V1266" s="19"/>
      <c r="W1266" s="19"/>
      <c r="X1266" s="19"/>
      <c r="Y1266" s="19"/>
      <c r="Z1266" s="19"/>
    </row>
    <row r="1267" spans="1:26" ht="15" thickBot="1" x14ac:dyDescent="0.35">
      <c r="A1267" s="19"/>
      <c r="B1267" s="19"/>
      <c r="C1267" s="19"/>
      <c r="D1267" s="19"/>
      <c r="E1267" s="19"/>
      <c r="F1267" s="19"/>
      <c r="G1267" s="19"/>
      <c r="H1267" s="19"/>
      <c r="I1267" s="19"/>
      <c r="J1267" s="19"/>
      <c r="K1267" s="19"/>
      <c r="L1267" s="19"/>
      <c r="M1267" s="19"/>
      <c r="N1267" s="19"/>
      <c r="O1267" s="19"/>
      <c r="P1267" s="19"/>
      <c r="Q1267" s="19"/>
      <c r="R1267" s="19"/>
      <c r="S1267" s="19"/>
      <c r="T1267" s="19"/>
      <c r="U1267" s="19"/>
      <c r="V1267" s="19"/>
      <c r="W1267" s="19"/>
      <c r="X1267" s="19"/>
      <c r="Y1267" s="19"/>
      <c r="Z1267" s="19"/>
    </row>
    <row r="1268" spans="1:26" ht="15" thickBot="1" x14ac:dyDescent="0.35">
      <c r="A1268" s="19"/>
      <c r="B1268" s="19"/>
      <c r="C1268" s="19"/>
      <c r="D1268" s="19"/>
      <c r="E1268" s="19"/>
      <c r="F1268" s="19"/>
      <c r="G1268" s="19"/>
      <c r="H1268" s="19"/>
      <c r="I1268" s="19"/>
      <c r="J1268" s="19"/>
      <c r="K1268" s="19"/>
      <c r="L1268" s="19"/>
      <c r="M1268" s="19"/>
      <c r="N1268" s="19"/>
      <c r="O1268" s="19"/>
      <c r="P1268" s="19"/>
      <c r="Q1268" s="19"/>
      <c r="R1268" s="19"/>
      <c r="S1268" s="19"/>
      <c r="T1268" s="19"/>
      <c r="U1268" s="19"/>
      <c r="V1268" s="19"/>
      <c r="W1268" s="19"/>
      <c r="X1268" s="19"/>
      <c r="Y1268" s="19"/>
      <c r="Z1268" s="19"/>
    </row>
    <row r="1269" spans="1:26" ht="15" thickBot="1" x14ac:dyDescent="0.35">
      <c r="A1269" s="19"/>
      <c r="B1269" s="19"/>
      <c r="C1269" s="19"/>
      <c r="D1269" s="19"/>
      <c r="E1269" s="19"/>
      <c r="F1269" s="19"/>
      <c r="G1269" s="19"/>
      <c r="H1269" s="19"/>
      <c r="I1269" s="19"/>
      <c r="J1269" s="19"/>
      <c r="K1269" s="19"/>
      <c r="L1269" s="19"/>
      <c r="M1269" s="19"/>
      <c r="N1269" s="19"/>
      <c r="O1269" s="19"/>
      <c r="P1269" s="19"/>
      <c r="Q1269" s="19"/>
      <c r="R1269" s="19"/>
      <c r="S1269" s="19"/>
      <c r="T1269" s="19"/>
      <c r="U1269" s="19"/>
      <c r="V1269" s="19"/>
      <c r="W1269" s="19"/>
      <c r="X1269" s="19"/>
      <c r="Y1269" s="19"/>
      <c r="Z1269" s="19"/>
    </row>
    <row r="1270" spans="1:26" ht="15" thickBot="1" x14ac:dyDescent="0.35">
      <c r="A1270" s="19"/>
      <c r="B1270" s="19"/>
      <c r="C1270" s="19"/>
      <c r="D1270" s="19"/>
      <c r="E1270" s="19"/>
      <c r="F1270" s="19"/>
      <c r="G1270" s="19"/>
      <c r="H1270" s="19"/>
      <c r="I1270" s="19"/>
      <c r="J1270" s="19"/>
      <c r="K1270" s="19"/>
      <c r="L1270" s="19"/>
      <c r="M1270" s="19"/>
      <c r="N1270" s="19"/>
      <c r="O1270" s="19"/>
      <c r="P1270" s="19"/>
      <c r="Q1270" s="19"/>
      <c r="R1270" s="19"/>
      <c r="S1270" s="19"/>
      <c r="T1270" s="19"/>
      <c r="U1270" s="19"/>
      <c r="V1270" s="19"/>
      <c r="W1270" s="19"/>
      <c r="X1270" s="19"/>
      <c r="Y1270" s="19"/>
      <c r="Z1270" s="19"/>
    </row>
    <row r="1271" spans="1:26" ht="15" thickBot="1" x14ac:dyDescent="0.35">
      <c r="A1271" s="19"/>
      <c r="B1271" s="19"/>
      <c r="C1271" s="19"/>
      <c r="D1271" s="19"/>
      <c r="E1271" s="19"/>
      <c r="F1271" s="19"/>
      <c r="G1271" s="19"/>
      <c r="H1271" s="19"/>
      <c r="I1271" s="19"/>
      <c r="J1271" s="19"/>
      <c r="K1271" s="19"/>
      <c r="L1271" s="19"/>
      <c r="M1271" s="19"/>
      <c r="N1271" s="19"/>
      <c r="O1271" s="19"/>
      <c r="P1271" s="19"/>
      <c r="Q1271" s="19"/>
      <c r="R1271" s="19"/>
      <c r="S1271" s="19"/>
      <c r="T1271" s="19"/>
      <c r="U1271" s="19"/>
      <c r="V1271" s="19"/>
      <c r="W1271" s="19"/>
      <c r="X1271" s="19"/>
      <c r="Y1271" s="19"/>
      <c r="Z1271" s="19"/>
    </row>
    <row r="1272" spans="1:26" ht="15" thickBot="1" x14ac:dyDescent="0.35">
      <c r="A1272" s="19"/>
      <c r="B1272" s="19"/>
      <c r="C1272" s="19"/>
      <c r="D1272" s="19"/>
      <c r="E1272" s="19"/>
      <c r="F1272" s="19"/>
      <c r="G1272" s="19"/>
      <c r="H1272" s="19"/>
      <c r="I1272" s="19"/>
      <c r="J1272" s="19"/>
      <c r="K1272" s="19"/>
      <c r="L1272" s="19"/>
      <c r="M1272" s="19"/>
      <c r="N1272" s="19"/>
      <c r="O1272" s="19"/>
      <c r="P1272" s="19"/>
      <c r="Q1272" s="19"/>
      <c r="R1272" s="19"/>
      <c r="S1272" s="19"/>
      <c r="T1272" s="19"/>
      <c r="U1272" s="19"/>
      <c r="V1272" s="19"/>
      <c r="W1272" s="19"/>
      <c r="X1272" s="19"/>
      <c r="Y1272" s="19"/>
      <c r="Z1272" s="19"/>
    </row>
    <row r="1273" spans="1:26" ht="15" thickBot="1" x14ac:dyDescent="0.35">
      <c r="A1273" s="19"/>
      <c r="B1273" s="19"/>
      <c r="C1273" s="19"/>
      <c r="D1273" s="19"/>
      <c r="E1273" s="19"/>
      <c r="F1273" s="19"/>
      <c r="G1273" s="19"/>
      <c r="H1273" s="19"/>
      <c r="I1273" s="19"/>
      <c r="J1273" s="19"/>
      <c r="K1273" s="19"/>
      <c r="L1273" s="19"/>
      <c r="M1273" s="19"/>
      <c r="N1273" s="19"/>
      <c r="O1273" s="19"/>
      <c r="P1273" s="19"/>
      <c r="Q1273" s="19"/>
      <c r="R1273" s="19"/>
      <c r="S1273" s="19"/>
      <c r="T1273" s="19"/>
      <c r="U1273" s="19"/>
      <c r="V1273" s="19"/>
      <c r="W1273" s="19"/>
      <c r="X1273" s="19"/>
      <c r="Y1273" s="19"/>
      <c r="Z1273" s="19"/>
    </row>
    <row r="1274" spans="1:26" ht="15" thickBot="1" x14ac:dyDescent="0.35">
      <c r="A1274" s="19"/>
      <c r="B1274" s="19"/>
      <c r="C1274" s="19"/>
      <c r="D1274" s="19"/>
      <c r="E1274" s="19"/>
      <c r="F1274" s="19"/>
      <c r="G1274" s="19"/>
      <c r="H1274" s="19"/>
      <c r="I1274" s="19"/>
      <c r="J1274" s="19"/>
      <c r="K1274" s="19"/>
      <c r="L1274" s="19"/>
      <c r="M1274" s="19"/>
      <c r="N1274" s="19"/>
      <c r="O1274" s="19"/>
      <c r="P1274" s="19"/>
      <c r="Q1274" s="19"/>
      <c r="R1274" s="19"/>
      <c r="S1274" s="19"/>
      <c r="T1274" s="19"/>
      <c r="U1274" s="19"/>
      <c r="V1274" s="19"/>
      <c r="W1274" s="19"/>
      <c r="X1274" s="19"/>
      <c r="Y1274" s="19"/>
      <c r="Z1274" s="19"/>
    </row>
    <row r="1275" spans="1:26" ht="15" thickBot="1" x14ac:dyDescent="0.35">
      <c r="A1275" s="19"/>
      <c r="B1275" s="19"/>
      <c r="C1275" s="19"/>
      <c r="D1275" s="19"/>
      <c r="E1275" s="19"/>
      <c r="F1275" s="19"/>
      <c r="G1275" s="19"/>
      <c r="H1275" s="19"/>
      <c r="I1275" s="19"/>
      <c r="J1275" s="19"/>
      <c r="K1275" s="19"/>
      <c r="L1275" s="19"/>
      <c r="M1275" s="19"/>
      <c r="N1275" s="19"/>
      <c r="O1275" s="19"/>
      <c r="P1275" s="19"/>
      <c r="Q1275" s="19"/>
      <c r="R1275" s="19"/>
      <c r="S1275" s="19"/>
      <c r="T1275" s="19"/>
      <c r="U1275" s="19"/>
      <c r="V1275" s="19"/>
      <c r="W1275" s="19"/>
      <c r="X1275" s="19"/>
      <c r="Y1275" s="19"/>
      <c r="Z1275" s="19"/>
    </row>
    <row r="1276" spans="1:26" ht="15" thickBot="1" x14ac:dyDescent="0.35">
      <c r="A1276" s="19"/>
      <c r="B1276" s="19"/>
      <c r="C1276" s="19"/>
      <c r="D1276" s="19"/>
      <c r="E1276" s="19"/>
      <c r="F1276" s="19"/>
      <c r="G1276" s="19"/>
      <c r="H1276" s="19"/>
      <c r="I1276" s="19"/>
      <c r="J1276" s="19"/>
      <c r="K1276" s="19"/>
      <c r="L1276" s="19"/>
      <c r="M1276" s="19"/>
      <c r="N1276" s="19"/>
      <c r="O1276" s="19"/>
      <c r="P1276" s="19"/>
      <c r="Q1276" s="19"/>
      <c r="R1276" s="19"/>
      <c r="S1276" s="19"/>
      <c r="T1276" s="19"/>
      <c r="U1276" s="19"/>
      <c r="V1276" s="19"/>
      <c r="W1276" s="19"/>
      <c r="X1276" s="19"/>
      <c r="Y1276" s="19"/>
      <c r="Z1276" s="19"/>
    </row>
    <row r="1277" spans="1:26" ht="15" thickBot="1" x14ac:dyDescent="0.35">
      <c r="A1277" s="19"/>
      <c r="B1277" s="19"/>
      <c r="C1277" s="19"/>
      <c r="D1277" s="19"/>
      <c r="E1277" s="19"/>
      <c r="F1277" s="19"/>
      <c r="G1277" s="19"/>
      <c r="H1277" s="19"/>
      <c r="I1277" s="19"/>
      <c r="J1277" s="19"/>
      <c r="K1277" s="19"/>
      <c r="L1277" s="19"/>
      <c r="M1277" s="19"/>
      <c r="N1277" s="19"/>
      <c r="O1277" s="19"/>
      <c r="P1277" s="19"/>
      <c r="Q1277" s="19"/>
      <c r="R1277" s="19"/>
      <c r="S1277" s="19"/>
      <c r="T1277" s="19"/>
      <c r="U1277" s="19"/>
      <c r="V1277" s="19"/>
      <c r="W1277" s="19"/>
      <c r="X1277" s="19"/>
      <c r="Y1277" s="19"/>
      <c r="Z1277" s="19"/>
    </row>
    <row r="1278" spans="1:26" ht="15" thickBot="1" x14ac:dyDescent="0.35">
      <c r="A1278" s="19"/>
      <c r="B1278" s="19"/>
      <c r="C1278" s="19"/>
      <c r="D1278" s="19"/>
      <c r="E1278" s="19"/>
      <c r="F1278" s="19"/>
      <c r="G1278" s="19"/>
      <c r="H1278" s="19"/>
      <c r="I1278" s="19"/>
      <c r="J1278" s="19"/>
      <c r="K1278" s="19"/>
      <c r="L1278" s="19"/>
      <c r="M1278" s="19"/>
      <c r="N1278" s="19"/>
      <c r="O1278" s="19"/>
      <c r="P1278" s="19"/>
      <c r="Q1278" s="19"/>
      <c r="R1278" s="19"/>
      <c r="S1278" s="19"/>
      <c r="T1278" s="19"/>
      <c r="U1278" s="19"/>
      <c r="V1278" s="19"/>
      <c r="W1278" s="19"/>
      <c r="X1278" s="19"/>
      <c r="Y1278" s="19"/>
      <c r="Z1278" s="19"/>
    </row>
    <row r="1279" spans="1:26" ht="15" thickBot="1" x14ac:dyDescent="0.35">
      <c r="A1279" s="19"/>
      <c r="B1279" s="19"/>
      <c r="C1279" s="19"/>
      <c r="D1279" s="19"/>
      <c r="E1279" s="19"/>
      <c r="F1279" s="19"/>
      <c r="G1279" s="19"/>
      <c r="H1279" s="19"/>
      <c r="I1279" s="19"/>
      <c r="J1279" s="19"/>
      <c r="K1279" s="19"/>
      <c r="L1279" s="19"/>
      <c r="M1279" s="19"/>
      <c r="N1279" s="19"/>
      <c r="O1279" s="19"/>
      <c r="P1279" s="19"/>
      <c r="Q1279" s="19"/>
      <c r="R1279" s="19"/>
      <c r="S1279" s="19"/>
      <c r="T1279" s="19"/>
      <c r="U1279" s="19"/>
      <c r="V1279" s="19"/>
      <c r="W1279" s="19"/>
      <c r="X1279" s="19"/>
      <c r="Y1279" s="19"/>
      <c r="Z1279" s="19"/>
    </row>
    <row r="1280" spans="1:26" ht="15" thickBot="1" x14ac:dyDescent="0.35">
      <c r="A1280" s="19"/>
      <c r="B1280" s="19"/>
      <c r="C1280" s="19"/>
      <c r="D1280" s="19"/>
      <c r="E1280" s="19"/>
      <c r="F1280" s="19"/>
      <c r="G1280" s="19"/>
      <c r="H1280" s="19"/>
      <c r="I1280" s="19"/>
      <c r="J1280" s="19"/>
      <c r="K1280" s="19"/>
      <c r="L1280" s="19"/>
      <c r="M1280" s="19"/>
      <c r="N1280" s="19"/>
      <c r="O1280" s="19"/>
      <c r="P1280" s="19"/>
      <c r="Q1280" s="19"/>
      <c r="R1280" s="19"/>
      <c r="S1280" s="19"/>
      <c r="T1280" s="19"/>
      <c r="U1280" s="19"/>
      <c r="V1280" s="19"/>
      <c r="W1280" s="19"/>
      <c r="X1280" s="19"/>
      <c r="Y1280" s="19"/>
      <c r="Z1280" s="19"/>
    </row>
    <row r="1281" spans="1:26" ht="15" thickBot="1" x14ac:dyDescent="0.35">
      <c r="A1281" s="19"/>
      <c r="B1281" s="19"/>
      <c r="C1281" s="19"/>
      <c r="D1281" s="19"/>
      <c r="E1281" s="19"/>
      <c r="F1281" s="19"/>
      <c r="G1281" s="19"/>
      <c r="H1281" s="19"/>
      <c r="I1281" s="19"/>
      <c r="J1281" s="19"/>
      <c r="K1281" s="19"/>
      <c r="L1281" s="19"/>
      <c r="M1281" s="19"/>
      <c r="N1281" s="19"/>
      <c r="O1281" s="19"/>
      <c r="P1281" s="19"/>
      <c r="Q1281" s="19"/>
      <c r="R1281" s="19"/>
      <c r="S1281" s="19"/>
      <c r="T1281" s="19"/>
      <c r="U1281" s="19"/>
      <c r="V1281" s="19"/>
      <c r="W1281" s="19"/>
      <c r="X1281" s="19"/>
      <c r="Y1281" s="19"/>
      <c r="Z1281" s="19"/>
    </row>
    <row r="1282" spans="1:26" ht="15" thickBot="1" x14ac:dyDescent="0.35">
      <c r="A1282" s="19"/>
      <c r="B1282" s="19"/>
      <c r="C1282" s="19"/>
      <c r="D1282" s="19"/>
      <c r="E1282" s="19"/>
      <c r="F1282" s="19"/>
      <c r="G1282" s="19"/>
      <c r="H1282" s="19"/>
      <c r="I1282" s="19"/>
      <c r="J1282" s="19"/>
      <c r="K1282" s="19"/>
      <c r="L1282" s="19"/>
      <c r="M1282" s="19"/>
      <c r="N1282" s="19"/>
      <c r="O1282" s="19"/>
      <c r="P1282" s="19"/>
      <c r="Q1282" s="19"/>
      <c r="R1282" s="19"/>
      <c r="S1282" s="19"/>
      <c r="T1282" s="19"/>
      <c r="U1282" s="19"/>
      <c r="V1282" s="19"/>
      <c r="W1282" s="19"/>
      <c r="X1282" s="19"/>
      <c r="Y1282" s="19"/>
      <c r="Z1282" s="19"/>
    </row>
    <row r="1283" spans="1:26" ht="15" thickBot="1" x14ac:dyDescent="0.35">
      <c r="A1283" s="19"/>
      <c r="B1283" s="19"/>
      <c r="C1283" s="19"/>
      <c r="D1283" s="19"/>
      <c r="E1283" s="19"/>
      <c r="F1283" s="19"/>
      <c r="G1283" s="19"/>
      <c r="H1283" s="19"/>
      <c r="I1283" s="19"/>
      <c r="J1283" s="19"/>
      <c r="K1283" s="19"/>
      <c r="L1283" s="19"/>
      <c r="M1283" s="19"/>
      <c r="N1283" s="19"/>
      <c r="O1283" s="19"/>
      <c r="P1283" s="19"/>
      <c r="Q1283" s="19"/>
      <c r="R1283" s="19"/>
      <c r="S1283" s="19"/>
      <c r="T1283" s="19"/>
      <c r="U1283" s="19"/>
      <c r="V1283" s="19"/>
      <c r="W1283" s="19"/>
      <c r="X1283" s="19"/>
      <c r="Y1283" s="19"/>
      <c r="Z1283" s="19"/>
    </row>
  </sheetData>
  <conditionalFormatting sqref="A352:N451">
    <cfRule type="expression" dxfId="1" priority="2">
      <formula>$J352&gt;5000</formula>
    </cfRule>
  </conditionalFormatting>
  <conditionalFormatting sqref="E352:E451">
    <cfRule type="expression" dxfId="0" priority="1">
      <formula>LEN(E352)&lt;&gt;10</formula>
    </cfRule>
  </conditionalFormatting>
  <dataValidations count="2">
    <dataValidation type="list" allowBlank="1" showInputMessage="1" showErrorMessage="1" sqref="M285" xr:uid="{CCF6DE9C-A22A-433D-B144-87631E028366}">
      <formula1>$F$284:$F$333</formula1>
    </dataValidation>
    <dataValidation type="whole" allowBlank="1" showInputMessage="1" showErrorMessage="1" sqref="I352:I451" xr:uid="{A21F41B3-4374-4325-A136-1B5E86642897}">
      <formula1>1</formula1>
      <formula2>20</formula2>
    </dataValidation>
  </dataValidations>
  <pageMargins left="0.7" right="0.7" top="0.75" bottom="0.75" header="0.3" footer="0.3"/>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2CFB7-5C22-45E8-BCC1-D08B175ED37A}">
  <sheetPr codeName="Sheet2"/>
  <dimension ref="A1:F24"/>
  <sheetViews>
    <sheetView workbookViewId="0">
      <selection activeCell="O22" sqref="O22"/>
    </sheetView>
  </sheetViews>
  <sheetFormatPr defaultRowHeight="14.4" x14ac:dyDescent="0.3"/>
  <cols>
    <col min="1" max="1" width="18.5546875" bestFit="1" customWidth="1"/>
    <col min="2" max="2" width="16.109375" bestFit="1" customWidth="1"/>
    <col min="3" max="3" width="6.109375" bestFit="1" customWidth="1"/>
    <col min="4" max="4" width="9.33203125" bestFit="1" customWidth="1"/>
    <col min="5" max="5" width="6.6640625" bestFit="1" customWidth="1"/>
    <col min="6" max="6" width="10.77734375" bestFit="1" customWidth="1"/>
    <col min="7" max="7" width="11.77734375" bestFit="1" customWidth="1"/>
    <col min="8" max="8" width="12.44140625" bestFit="1" customWidth="1"/>
    <col min="9" max="9" width="10.21875" bestFit="1" customWidth="1"/>
    <col min="10" max="10" width="8.77734375" bestFit="1" customWidth="1"/>
    <col min="11" max="11" width="8.21875" bestFit="1" customWidth="1"/>
    <col min="12" max="12" width="10.77734375" bestFit="1" customWidth="1"/>
    <col min="13" max="13" width="11.77734375" bestFit="1" customWidth="1"/>
    <col min="14" max="14" width="15.88671875" bestFit="1" customWidth="1"/>
    <col min="15" max="15" width="12.44140625" bestFit="1" customWidth="1"/>
    <col min="16" max="16" width="8.21875" bestFit="1" customWidth="1"/>
    <col min="17" max="17" width="14.109375" bestFit="1" customWidth="1"/>
    <col min="18" max="18" width="15.88671875" bestFit="1" customWidth="1"/>
    <col min="19" max="19" width="10.21875" bestFit="1" customWidth="1"/>
    <col min="20" max="20" width="8.77734375" bestFit="1" customWidth="1"/>
    <col min="21" max="21" width="8.21875" bestFit="1" customWidth="1"/>
    <col min="22" max="22" width="11.33203125" bestFit="1" customWidth="1"/>
    <col min="23" max="23" width="10.77734375" bestFit="1" customWidth="1"/>
  </cols>
  <sheetData>
    <row r="1" spans="1:6" x14ac:dyDescent="0.3">
      <c r="A1" s="5" t="s">
        <v>165</v>
      </c>
      <c r="B1" t="s">
        <v>308</v>
      </c>
    </row>
    <row r="2" spans="1:6" x14ac:dyDescent="0.3">
      <c r="A2" s="5" t="s">
        <v>160</v>
      </c>
      <c r="B2" t="s">
        <v>308</v>
      </c>
    </row>
    <row r="4" spans="1:6" x14ac:dyDescent="0.3">
      <c r="A4" s="5" t="s">
        <v>307</v>
      </c>
      <c r="B4" s="5" t="s">
        <v>306</v>
      </c>
    </row>
    <row r="5" spans="1:6" x14ac:dyDescent="0.3">
      <c r="A5" s="5" t="s">
        <v>304</v>
      </c>
      <c r="B5" t="s">
        <v>184</v>
      </c>
      <c r="C5" t="s">
        <v>197</v>
      </c>
      <c r="D5" t="s">
        <v>173</v>
      </c>
      <c r="E5" t="s">
        <v>208</v>
      </c>
      <c r="F5" t="s">
        <v>305</v>
      </c>
    </row>
    <row r="6" spans="1:6" x14ac:dyDescent="0.3">
      <c r="A6" s="6" t="s">
        <v>202</v>
      </c>
      <c r="D6">
        <v>1</v>
      </c>
      <c r="F6">
        <v>1</v>
      </c>
    </row>
    <row r="7" spans="1:6" x14ac:dyDescent="0.3">
      <c r="A7" s="6" t="s">
        <v>205</v>
      </c>
      <c r="E7">
        <v>1</v>
      </c>
      <c r="F7">
        <v>1</v>
      </c>
    </row>
    <row r="8" spans="1:6" x14ac:dyDescent="0.3">
      <c r="A8" s="6" t="s">
        <v>214</v>
      </c>
      <c r="E8">
        <v>1</v>
      </c>
      <c r="F8">
        <v>1</v>
      </c>
    </row>
    <row r="9" spans="1:6" x14ac:dyDescent="0.3">
      <c r="A9" s="6" t="s">
        <v>222</v>
      </c>
      <c r="E9">
        <v>1</v>
      </c>
      <c r="F9">
        <v>1</v>
      </c>
    </row>
    <row r="10" spans="1:6" x14ac:dyDescent="0.3">
      <c r="A10" s="6" t="s">
        <v>238</v>
      </c>
      <c r="E10">
        <v>1</v>
      </c>
      <c r="F10">
        <v>1</v>
      </c>
    </row>
    <row r="11" spans="1:6" x14ac:dyDescent="0.3">
      <c r="A11" s="6" t="s">
        <v>241</v>
      </c>
      <c r="E11">
        <v>1</v>
      </c>
      <c r="F11">
        <v>1</v>
      </c>
    </row>
    <row r="12" spans="1:6" x14ac:dyDescent="0.3">
      <c r="A12" s="6" t="s">
        <v>245</v>
      </c>
      <c r="C12">
        <v>1</v>
      </c>
      <c r="F12">
        <v>1</v>
      </c>
    </row>
    <row r="13" spans="1:6" x14ac:dyDescent="0.3">
      <c r="A13" s="6" t="s">
        <v>254</v>
      </c>
      <c r="D13">
        <v>1</v>
      </c>
      <c r="F13">
        <v>1</v>
      </c>
    </row>
    <row r="14" spans="1:6" x14ac:dyDescent="0.3">
      <c r="A14" s="6" t="s">
        <v>259</v>
      </c>
      <c r="D14">
        <v>1</v>
      </c>
      <c r="F14">
        <v>1</v>
      </c>
    </row>
    <row r="15" spans="1:6" x14ac:dyDescent="0.3">
      <c r="A15" s="6" t="s">
        <v>260</v>
      </c>
      <c r="C15">
        <v>1</v>
      </c>
      <c r="F15">
        <v>1</v>
      </c>
    </row>
    <row r="16" spans="1:6" x14ac:dyDescent="0.3">
      <c r="A16" s="6" t="s">
        <v>262</v>
      </c>
      <c r="B16">
        <v>1</v>
      </c>
      <c r="F16">
        <v>1</v>
      </c>
    </row>
    <row r="17" spans="1:6" x14ac:dyDescent="0.3">
      <c r="A17" s="6" t="s">
        <v>263</v>
      </c>
      <c r="B17">
        <v>1</v>
      </c>
      <c r="F17">
        <v>1</v>
      </c>
    </row>
    <row r="18" spans="1:6" x14ac:dyDescent="0.3">
      <c r="A18" s="6" t="s">
        <v>265</v>
      </c>
      <c r="C18">
        <v>1</v>
      </c>
      <c r="F18">
        <v>1</v>
      </c>
    </row>
    <row r="19" spans="1:6" x14ac:dyDescent="0.3">
      <c r="A19" s="6" t="s">
        <v>267</v>
      </c>
      <c r="E19">
        <v>1</v>
      </c>
      <c r="F19">
        <v>1</v>
      </c>
    </row>
    <row r="20" spans="1:6" x14ac:dyDescent="0.3">
      <c r="A20" s="6" t="s">
        <v>270</v>
      </c>
      <c r="B20">
        <v>1</v>
      </c>
      <c r="F20">
        <v>1</v>
      </c>
    </row>
    <row r="21" spans="1:6" x14ac:dyDescent="0.3">
      <c r="A21" s="6" t="s">
        <v>271</v>
      </c>
      <c r="D21">
        <v>1</v>
      </c>
      <c r="F21">
        <v>1</v>
      </c>
    </row>
    <row r="22" spans="1:6" x14ac:dyDescent="0.3">
      <c r="A22" s="6" t="s">
        <v>298</v>
      </c>
      <c r="C22">
        <v>1</v>
      </c>
      <c r="F22">
        <v>1</v>
      </c>
    </row>
    <row r="23" spans="1:6" x14ac:dyDescent="0.3">
      <c r="A23" s="6" t="s">
        <v>302</v>
      </c>
      <c r="C23">
        <v>1</v>
      </c>
      <c r="F23">
        <v>1</v>
      </c>
    </row>
    <row r="24" spans="1:6" x14ac:dyDescent="0.3">
      <c r="A24" s="6" t="s">
        <v>305</v>
      </c>
      <c r="B24">
        <v>3</v>
      </c>
      <c r="C24">
        <v>5</v>
      </c>
      <c r="D24">
        <v>4</v>
      </c>
      <c r="E24">
        <v>6</v>
      </c>
      <c r="F24">
        <v>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3B435B-13B8-40DC-B34E-5938F030CB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region wise profit</vt:lpstr>
      <vt:lpstr>avg units sold</vt:lpstr>
      <vt:lpstr>Sheet1</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Azeeza Sultana</dc:creator>
  <cp:lastModifiedBy>Azeeza Sultana</cp:lastModifiedBy>
  <dcterms:created xsi:type="dcterms:W3CDTF">2025-12-28T12:43:00Z</dcterms:created>
  <dcterms:modified xsi:type="dcterms:W3CDTF">2026-01-03T14:08:56Z</dcterms:modified>
</cp:coreProperties>
</file>